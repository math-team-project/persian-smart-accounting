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min KHoojavi\Downloads\Code\Accounting Project\Accounting-and-auditing-LLM-Project\project\Data_Sample\"/>
    </mc:Choice>
  </mc:AlternateContent>
  <xr:revisionPtr revIDLastSave="0" documentId="13_ncr:1_{9E044BEE-4897-40DC-9A29-DCF913754D06}" xr6:coauthVersionLast="47" xr6:coauthVersionMax="47" xr10:uidLastSave="{00000000-0000-0000-0000-000000000000}"/>
  <bookViews>
    <workbookView xWindow="-120" yWindow="-120" windowWidth="24240" windowHeight="13290" activeTab="9" xr2:uid="{00000000-000D-0000-FFFF-FFFF00000000}"/>
  </bookViews>
  <sheets>
    <sheet name=" فرم 1 " sheetId="70" r:id="rId1"/>
    <sheet name="فرم 2" sheetId="71" r:id="rId2"/>
    <sheet name="فرم 3 " sheetId="45" r:id="rId3"/>
    <sheet name="فرم 4" sheetId="72" r:id="rId4"/>
    <sheet name="فرم 5 " sheetId="73" r:id="rId5"/>
    <sheet name="فرم1-5 " sheetId="61" r:id="rId6"/>
    <sheet name="فرم 6 " sheetId="66" r:id="rId7"/>
    <sheet name="فرم 7" sheetId="67" r:id="rId8"/>
    <sheet name="فرم 8 " sheetId="74" r:id="rId9"/>
    <sheet name="فرم 9" sheetId="69" r:id="rId10"/>
    <sheet name="فرم 10" sheetId="58" r:id="rId11"/>
  </sheets>
  <externalReferences>
    <externalReference r:id="rId12"/>
  </externalReferences>
  <definedNames>
    <definedName name="_xlnm._FilterDatabase" localSheetId="4" hidden="1">'فرم 5 '!$K$1:$K$147</definedName>
    <definedName name="_xlnm._FilterDatabase" localSheetId="5" hidden="1">'فرم1-5 '!$J$1:$J$64</definedName>
    <definedName name="_xlnm.Print_Area" localSheetId="0">' فرم 1 '!$A$2:$O$28</definedName>
    <definedName name="_xlnm.Print_Area" localSheetId="2">'فرم 3 '!$B$2:$D$17</definedName>
    <definedName name="_xlnm.Print_Area" localSheetId="3">'فرم 4'!$A$4:$U$31</definedName>
    <definedName name="_xlnm.Print_Area" localSheetId="4">'فرم 5 '!$A$2:$O$93</definedName>
    <definedName name="_xlnm.Print_Area" localSheetId="8">'فرم 8 '!$B$2:$K$29</definedName>
    <definedName name="_xlnm.Print_Area" localSheetId="9">'فرم 9'!$A$3:$H$65</definedName>
    <definedName name="_xlnm.Print_Area" localSheetId="5">'فرم1-5 '!$A$2:$N$26</definedName>
    <definedName name="_xlnm.Print_Titles" localSheetId="4">'فرم 5 '!$2:$5</definedName>
    <definedName name="_xlnm.Print_Titles" localSheetId="9">'فرم 9'!$2:$6</definedName>
    <definedName name="_xlnm.Print_Titles" localSheetId="5">'فرم1-5 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1" l="1"/>
  <c r="B22" i="61"/>
  <c r="A22" i="61"/>
  <c r="E24" i="61"/>
  <c r="D24" i="61" s="1"/>
  <c r="E23" i="61"/>
  <c r="E22" i="61" s="1"/>
  <c r="D22" i="61" s="1"/>
  <c r="G22" i="61"/>
  <c r="F22" i="61"/>
  <c r="I22" i="61"/>
  <c r="J22" i="61"/>
  <c r="H24" i="61"/>
  <c r="H22" i="61" s="1"/>
  <c r="H23" i="61"/>
  <c r="D23" i="61" l="1"/>
  <c r="A23" i="58"/>
  <c r="H23" i="58"/>
  <c r="I28" i="74" l="1"/>
  <c r="C28" i="74"/>
  <c r="C26" i="74"/>
  <c r="C25" i="74"/>
  <c r="C24" i="74"/>
  <c r="C23" i="74"/>
  <c r="C22" i="74"/>
  <c r="C21" i="74"/>
  <c r="C20" i="74"/>
  <c r="C19" i="74"/>
  <c r="C18" i="74"/>
  <c r="C17" i="74"/>
  <c r="C16" i="74" s="1"/>
  <c r="G16" i="74"/>
  <c r="F16" i="74"/>
  <c r="E16" i="74"/>
  <c r="D16" i="74"/>
  <c r="B16" i="74"/>
  <c r="C15" i="74"/>
  <c r="C14" i="74"/>
  <c r="C13" i="74"/>
  <c r="C12" i="74"/>
  <c r="C11" i="74"/>
  <c r="C10" i="74"/>
  <c r="C9" i="74"/>
  <c r="G8" i="74"/>
  <c r="G7" i="74" s="1"/>
  <c r="F8" i="74"/>
  <c r="F7" i="74" s="1"/>
  <c r="E8" i="74"/>
  <c r="E7" i="74" s="1"/>
  <c r="D8" i="74"/>
  <c r="D7" i="74" s="1"/>
  <c r="B8" i="74"/>
  <c r="B7" i="74" s="1"/>
  <c r="A8" i="74"/>
  <c r="B24" i="66"/>
  <c r="B23" i="66"/>
  <c r="B22" i="66"/>
  <c r="B21" i="66"/>
  <c r="C24" i="66"/>
  <c r="C23" i="66"/>
  <c r="C20" i="66" s="1"/>
  <c r="C22" i="66"/>
  <c r="C21" i="66"/>
  <c r="J20" i="66"/>
  <c r="I20" i="66"/>
  <c r="H20" i="66"/>
  <c r="G20" i="66"/>
  <c r="F20" i="66"/>
  <c r="E20" i="66"/>
  <c r="D20" i="66"/>
  <c r="K20" i="66"/>
  <c r="J84" i="73"/>
  <c r="E82" i="73"/>
  <c r="I91" i="73"/>
  <c r="F91" i="73"/>
  <c r="I90" i="73"/>
  <c r="F90" i="73"/>
  <c r="I89" i="73"/>
  <c r="F89" i="73"/>
  <c r="I88" i="73"/>
  <c r="F88" i="73"/>
  <c r="I87" i="73"/>
  <c r="F87" i="73"/>
  <c r="E87" i="73" s="1"/>
  <c r="I86" i="73"/>
  <c r="F86" i="73"/>
  <c r="I85" i="73"/>
  <c r="F85" i="73"/>
  <c r="K84" i="73"/>
  <c r="H84" i="73"/>
  <c r="G84" i="73"/>
  <c r="B84" i="73"/>
  <c r="A84" i="73"/>
  <c r="I83" i="73"/>
  <c r="F83" i="73"/>
  <c r="I82" i="73"/>
  <c r="F82" i="73"/>
  <c r="I81" i="73"/>
  <c r="F81" i="73"/>
  <c r="I80" i="73"/>
  <c r="F80" i="73"/>
  <c r="I79" i="73"/>
  <c r="F79" i="73"/>
  <c r="I78" i="73"/>
  <c r="F78" i="73"/>
  <c r="I77" i="73"/>
  <c r="F77" i="73"/>
  <c r="I76" i="73"/>
  <c r="F76" i="73"/>
  <c r="I75" i="73"/>
  <c r="F75" i="73"/>
  <c r="I74" i="73"/>
  <c r="F74" i="73"/>
  <c r="I73" i="73"/>
  <c r="F73" i="73"/>
  <c r="I72" i="73"/>
  <c r="F72" i="73"/>
  <c r="I71" i="73"/>
  <c r="F71" i="73"/>
  <c r="I70" i="73"/>
  <c r="F70" i="73"/>
  <c r="I69" i="73"/>
  <c r="F69" i="73"/>
  <c r="I68" i="73"/>
  <c r="F68" i="73"/>
  <c r="K67" i="73"/>
  <c r="J67" i="73"/>
  <c r="H67" i="73"/>
  <c r="G67" i="73"/>
  <c r="I66" i="73"/>
  <c r="F66" i="73"/>
  <c r="I65" i="73"/>
  <c r="F65" i="73"/>
  <c r="I64" i="73"/>
  <c r="F64" i="73"/>
  <c r="I63" i="73"/>
  <c r="F63" i="73"/>
  <c r="I62" i="73"/>
  <c r="F62" i="73"/>
  <c r="I61" i="73"/>
  <c r="F61" i="73"/>
  <c r="I60" i="73"/>
  <c r="F60" i="73"/>
  <c r="I59" i="73"/>
  <c r="F59" i="73"/>
  <c r="I58" i="73"/>
  <c r="F58" i="73"/>
  <c r="I57" i="73"/>
  <c r="F57" i="73"/>
  <c r="I56" i="73"/>
  <c r="F56" i="73"/>
  <c r="I55" i="73"/>
  <c r="F55" i="73"/>
  <c r="I54" i="73"/>
  <c r="F54" i="73"/>
  <c r="I53" i="73"/>
  <c r="F53" i="73"/>
  <c r="I52" i="73"/>
  <c r="F52" i="73"/>
  <c r="I51" i="73"/>
  <c r="F51" i="73"/>
  <c r="I50" i="73"/>
  <c r="F50" i="73"/>
  <c r="I49" i="73"/>
  <c r="F49" i="73"/>
  <c r="I48" i="73"/>
  <c r="F48" i="73"/>
  <c r="I47" i="73"/>
  <c r="F47" i="73"/>
  <c r="I46" i="73"/>
  <c r="F46" i="73"/>
  <c r="I45" i="73"/>
  <c r="F45" i="73"/>
  <c r="I44" i="73"/>
  <c r="F44" i="73"/>
  <c r="I43" i="73"/>
  <c r="F43" i="73"/>
  <c r="I42" i="73"/>
  <c r="F42" i="73"/>
  <c r="I41" i="73"/>
  <c r="F41" i="73"/>
  <c r="E41" i="73" s="1"/>
  <c r="I40" i="73"/>
  <c r="F40" i="73"/>
  <c r="I39" i="73"/>
  <c r="F39" i="73"/>
  <c r="I38" i="73"/>
  <c r="F38" i="73"/>
  <c r="I37" i="73"/>
  <c r="F37" i="73"/>
  <c r="I36" i="73"/>
  <c r="F36" i="73"/>
  <c r="I35" i="73"/>
  <c r="F35" i="73"/>
  <c r="I34" i="73"/>
  <c r="F34" i="73"/>
  <c r="I33" i="73"/>
  <c r="F33" i="73"/>
  <c r="I32" i="73"/>
  <c r="F32" i="73"/>
  <c r="I31" i="73"/>
  <c r="F31" i="73"/>
  <c r="I30" i="73"/>
  <c r="F30" i="73"/>
  <c r="I29" i="73"/>
  <c r="F29" i="73"/>
  <c r="I28" i="73"/>
  <c r="F28" i="73"/>
  <c r="I27" i="73"/>
  <c r="F27" i="73"/>
  <c r="I26" i="73"/>
  <c r="F26" i="73"/>
  <c r="I25" i="73"/>
  <c r="F25" i="73"/>
  <c r="I24" i="73"/>
  <c r="F24" i="73"/>
  <c r="I23" i="73"/>
  <c r="F23" i="73"/>
  <c r="I22" i="73"/>
  <c r="F22" i="73"/>
  <c r="K21" i="73"/>
  <c r="J21" i="73"/>
  <c r="H21" i="73"/>
  <c r="G21" i="73"/>
  <c r="B21" i="73"/>
  <c r="A21" i="73"/>
  <c r="I20" i="73"/>
  <c r="F20" i="73"/>
  <c r="I19" i="73"/>
  <c r="F19" i="73"/>
  <c r="I18" i="73"/>
  <c r="F18" i="73"/>
  <c r="I17" i="73"/>
  <c r="F17" i="73"/>
  <c r="I16" i="73"/>
  <c r="F16" i="73"/>
  <c r="I15" i="73"/>
  <c r="F15" i="73"/>
  <c r="I14" i="73"/>
  <c r="F14" i="73"/>
  <c r="I13" i="73"/>
  <c r="F13" i="73"/>
  <c r="I12" i="73"/>
  <c r="F12" i="73"/>
  <c r="I11" i="73"/>
  <c r="F11" i="73"/>
  <c r="I10" i="73"/>
  <c r="F10" i="73"/>
  <c r="I9" i="73"/>
  <c r="F9" i="73"/>
  <c r="I8" i="73"/>
  <c r="F8" i="73"/>
  <c r="K7" i="73"/>
  <c r="J7" i="73"/>
  <c r="H7" i="73"/>
  <c r="G7" i="73"/>
  <c r="B7" i="73"/>
  <c r="A7" i="73"/>
  <c r="A6" i="73" s="1"/>
  <c r="C6" i="73"/>
  <c r="A28" i="72"/>
  <c r="P28" i="72" s="1"/>
  <c r="C29" i="72"/>
  <c r="A29" i="72" s="1"/>
  <c r="P29" i="72" s="1"/>
  <c r="C28" i="72"/>
  <c r="C27" i="72"/>
  <c r="A27" i="72" s="1"/>
  <c r="P27" i="72" s="1"/>
  <c r="C26" i="72"/>
  <c r="A26" i="72" s="1"/>
  <c r="P26" i="72" s="1"/>
  <c r="C25" i="72"/>
  <c r="A25" i="72" s="1"/>
  <c r="P25" i="72" s="1"/>
  <c r="C24" i="72"/>
  <c r="A24" i="72" s="1"/>
  <c r="P24" i="72" s="1"/>
  <c r="C23" i="72"/>
  <c r="A23" i="72" s="1"/>
  <c r="P23" i="72" s="1"/>
  <c r="C22" i="72"/>
  <c r="A22" i="72" s="1"/>
  <c r="P22" i="72" s="1"/>
  <c r="C21" i="72"/>
  <c r="A21" i="72" s="1"/>
  <c r="P21" i="72" s="1"/>
  <c r="L20" i="72"/>
  <c r="K20" i="72"/>
  <c r="J20" i="72"/>
  <c r="I20" i="72"/>
  <c r="H20" i="72"/>
  <c r="G20" i="72"/>
  <c r="F20" i="72"/>
  <c r="E20" i="72"/>
  <c r="D20" i="72"/>
  <c r="B20" i="72"/>
  <c r="B10" i="72" s="1"/>
  <c r="C17" i="72"/>
  <c r="A17" i="72" s="1"/>
  <c r="C16" i="72"/>
  <c r="A16" i="72" s="1"/>
  <c r="C15" i="72"/>
  <c r="A15" i="72"/>
  <c r="C14" i="72"/>
  <c r="A14" i="72" s="1"/>
  <c r="C13" i="72"/>
  <c r="A13" i="72" s="1"/>
  <c r="C12" i="72"/>
  <c r="A12" i="72" s="1"/>
  <c r="L11" i="72"/>
  <c r="K11" i="72"/>
  <c r="J11" i="72"/>
  <c r="I11" i="72"/>
  <c r="H11" i="72"/>
  <c r="H10" i="72" s="1"/>
  <c r="G11" i="72"/>
  <c r="F11" i="72"/>
  <c r="F10" i="72" s="1"/>
  <c r="E11" i="72"/>
  <c r="D11" i="72"/>
  <c r="B11" i="72"/>
  <c r="I10" i="72"/>
  <c r="H17" i="71"/>
  <c r="B17" i="71"/>
  <c r="H16" i="71"/>
  <c r="A16" i="71" s="1"/>
  <c r="B16" i="71"/>
  <c r="M15" i="71"/>
  <c r="L15" i="71"/>
  <c r="K15" i="71"/>
  <c r="J15" i="71"/>
  <c r="I15" i="71"/>
  <c r="G15" i="71"/>
  <c r="F15" i="71"/>
  <c r="E15" i="71"/>
  <c r="D15" i="71"/>
  <c r="C15" i="71"/>
  <c r="A14" i="71"/>
  <c r="A13" i="71"/>
  <c r="A12" i="71"/>
  <c r="A11" i="71"/>
  <c r="A10" i="71"/>
  <c r="A9" i="71"/>
  <c r="C8" i="71"/>
  <c r="B8" i="71" s="1"/>
  <c r="A8" i="71" s="1"/>
  <c r="H7" i="71"/>
  <c r="B7" i="71"/>
  <c r="M6" i="71"/>
  <c r="M5" i="71" s="1"/>
  <c r="L6" i="71"/>
  <c r="K6" i="71"/>
  <c r="J6" i="71"/>
  <c r="I6" i="71"/>
  <c r="I5" i="71" s="1"/>
  <c r="G6" i="71"/>
  <c r="F6" i="71"/>
  <c r="E6" i="71"/>
  <c r="D6" i="71"/>
  <c r="J5" i="71" l="1"/>
  <c r="G10" i="72"/>
  <c r="B6" i="73"/>
  <c r="E72" i="73"/>
  <c r="B20" i="66"/>
  <c r="D5" i="71"/>
  <c r="C6" i="71"/>
  <c r="C5" i="71" s="1"/>
  <c r="B15" i="71"/>
  <c r="E10" i="72"/>
  <c r="D10" i="72"/>
  <c r="E14" i="73"/>
  <c r="E16" i="73"/>
  <c r="E18" i="73"/>
  <c r="E42" i="73"/>
  <c r="C8" i="74"/>
  <c r="C7" i="74" s="1"/>
  <c r="F84" i="73"/>
  <c r="E90" i="73"/>
  <c r="I84" i="73"/>
  <c r="E71" i="73"/>
  <c r="E70" i="73"/>
  <c r="F67" i="73"/>
  <c r="E69" i="73"/>
  <c r="I67" i="73"/>
  <c r="J6" i="73"/>
  <c r="E64" i="73"/>
  <c r="E63" i="73"/>
  <c r="E62" i="73"/>
  <c r="E61" i="73"/>
  <c r="E60" i="73"/>
  <c r="E58" i="73"/>
  <c r="E57" i="73"/>
  <c r="E53" i="73"/>
  <c r="E47" i="73"/>
  <c r="E46" i="73"/>
  <c r="E45" i="73"/>
  <c r="E32" i="73"/>
  <c r="E31" i="73"/>
  <c r="E29" i="73"/>
  <c r="G6" i="73"/>
  <c r="E28" i="73"/>
  <c r="E27" i="73"/>
  <c r="E26" i="73"/>
  <c r="F21" i="73"/>
  <c r="E25" i="73"/>
  <c r="E24" i="73"/>
  <c r="H6" i="73"/>
  <c r="I21" i="73"/>
  <c r="E23" i="73"/>
  <c r="E19" i="73"/>
  <c r="E17" i="73"/>
  <c r="E15" i="73"/>
  <c r="F7" i="73"/>
  <c r="E13" i="73"/>
  <c r="K6" i="73"/>
  <c r="I7" i="73"/>
  <c r="K10" i="72"/>
  <c r="J10" i="72"/>
  <c r="L10" i="72"/>
  <c r="A20" i="72"/>
  <c r="C20" i="72"/>
  <c r="C11" i="72"/>
  <c r="F5" i="71"/>
  <c r="E5" i="71"/>
  <c r="A17" i="71"/>
  <c r="G5" i="71"/>
  <c r="K5" i="71"/>
  <c r="H15" i="71"/>
  <c r="B6" i="71"/>
  <c r="B5" i="71" s="1"/>
  <c r="A7" i="71"/>
  <c r="H6" i="71"/>
  <c r="L5" i="71"/>
  <c r="D13" i="70"/>
  <c r="C13" i="70"/>
  <c r="B13" i="70"/>
  <c r="B11" i="70" s="1"/>
  <c r="A13" i="70"/>
  <c r="A12" i="70"/>
  <c r="A11" i="70" s="1"/>
  <c r="A9" i="70"/>
  <c r="B12" i="70"/>
  <c r="D12" i="70"/>
  <c r="D11" i="70" s="1"/>
  <c r="C12" i="70"/>
  <c r="D8" i="70"/>
  <c r="A22" i="70"/>
  <c r="A20" i="70"/>
  <c r="D18" i="70"/>
  <c r="C18" i="70"/>
  <c r="B18" i="70"/>
  <c r="A18" i="70"/>
  <c r="D17" i="70"/>
  <c r="C17" i="70"/>
  <c r="B17" i="70"/>
  <c r="A17" i="70"/>
  <c r="L16" i="70"/>
  <c r="K16" i="70"/>
  <c r="J16" i="70"/>
  <c r="I16" i="70"/>
  <c r="H16" i="70"/>
  <c r="G16" i="70"/>
  <c r="F16" i="70"/>
  <c r="E16" i="70"/>
  <c r="L11" i="70"/>
  <c r="K11" i="70"/>
  <c r="J11" i="70"/>
  <c r="I11" i="70"/>
  <c r="H11" i="70"/>
  <c r="G11" i="70"/>
  <c r="F11" i="70"/>
  <c r="E11" i="70"/>
  <c r="C11" i="70"/>
  <c r="D10" i="70"/>
  <c r="C10" i="70"/>
  <c r="B10" i="70"/>
  <c r="A10" i="70"/>
  <c r="D9" i="70"/>
  <c r="C9" i="70"/>
  <c r="B9" i="70"/>
  <c r="C8" i="70"/>
  <c r="B8" i="70"/>
  <c r="A8" i="70"/>
  <c r="L7" i="70"/>
  <c r="K7" i="70"/>
  <c r="J7" i="70"/>
  <c r="I7" i="70"/>
  <c r="H7" i="70"/>
  <c r="H6" i="70" s="1"/>
  <c r="G7" i="70"/>
  <c r="G6" i="70" s="1"/>
  <c r="F7" i="70"/>
  <c r="F6" i="70" s="1"/>
  <c r="E7" i="70"/>
  <c r="H5" i="71" l="1"/>
  <c r="A15" i="71"/>
  <c r="A6" i="71"/>
  <c r="E67" i="73"/>
  <c r="E84" i="73"/>
  <c r="E21" i="73"/>
  <c r="F6" i="73"/>
  <c r="I6" i="73"/>
  <c r="E7" i="73"/>
  <c r="C10" i="72"/>
  <c r="A11" i="72"/>
  <c r="A10" i="72" s="1"/>
  <c r="A5" i="71"/>
  <c r="C16" i="70"/>
  <c r="D16" i="70"/>
  <c r="A16" i="70"/>
  <c r="B16" i="70"/>
  <c r="A7" i="70"/>
  <c r="E6" i="70"/>
  <c r="C7" i="70"/>
  <c r="D7" i="70"/>
  <c r="J6" i="70"/>
  <c r="B6" i="70" s="1"/>
  <c r="I6" i="70"/>
  <c r="A6" i="70" s="1"/>
  <c r="B7" i="70"/>
  <c r="K6" i="70"/>
  <c r="C6" i="70" s="1"/>
  <c r="L6" i="70"/>
  <c r="D6" i="70" s="1"/>
  <c r="D63" i="73" l="1"/>
  <c r="E6" i="73"/>
  <c r="D74" i="73"/>
  <c r="D85" i="73"/>
  <c r="D35" i="73"/>
  <c r="D16" i="73"/>
  <c r="D58" i="73"/>
  <c r="D49" i="73"/>
  <c r="D54" i="73"/>
  <c r="D60" i="73"/>
  <c r="D13" i="73"/>
  <c r="D43" i="73"/>
  <c r="D75" i="73"/>
  <c r="D64" i="73"/>
  <c r="D26" i="73"/>
  <c r="D12" i="73"/>
  <c r="D81" i="73"/>
  <c r="D50" i="73"/>
  <c r="D39" i="73"/>
  <c r="D24" i="73"/>
  <c r="D61" i="73"/>
  <c r="D11" i="73"/>
  <c r="D37" i="73"/>
  <c r="D67" i="73"/>
  <c r="D25" i="73"/>
  <c r="D77" i="73"/>
  <c r="D53" i="73"/>
  <c r="D22" i="73"/>
  <c r="D45" i="73"/>
  <c r="D41" i="73"/>
  <c r="D42" i="73"/>
  <c r="D83" i="73"/>
  <c r="D29" i="73"/>
  <c r="D46" i="73"/>
  <c r="D78" i="73"/>
  <c r="D84" i="73"/>
  <c r="D40" i="73"/>
  <c r="D23" i="73"/>
  <c r="D89" i="73"/>
  <c r="D66" i="73"/>
  <c r="D69" i="73"/>
  <c r="D48" i="73"/>
  <c r="D91" i="73"/>
  <c r="D18" i="73"/>
  <c r="D47" i="73"/>
  <c r="D65" i="73"/>
  <c r="D52" i="73"/>
  <c r="D8" i="73"/>
  <c r="D19" i="73"/>
  <c r="D57" i="73"/>
  <c r="D88" i="73"/>
  <c r="D59" i="73"/>
  <c r="D79" i="73"/>
  <c r="D82" i="73"/>
  <c r="D90" i="73"/>
  <c r="D44" i="73"/>
  <c r="D33" i="73"/>
  <c r="D20" i="73"/>
  <c r="D32" i="73"/>
  <c r="D31" i="73"/>
  <c r="D80" i="73"/>
  <c r="D55" i="73"/>
  <c r="D70" i="73"/>
  <c r="D34" i="73"/>
  <c r="D36" i="73"/>
  <c r="D14" i="73"/>
  <c r="D7" i="73"/>
  <c r="D73" i="73"/>
  <c r="D38" i="73"/>
  <c r="D9" i="73"/>
  <c r="D15" i="73"/>
  <c r="D21" i="73"/>
  <c r="D30" i="73"/>
  <c r="D28" i="73"/>
  <c r="D56" i="73"/>
  <c r="D51" i="73"/>
  <c r="D27" i="73"/>
  <c r="D62" i="73"/>
  <c r="D17" i="73"/>
  <c r="D68" i="73"/>
  <c r="D10" i="73"/>
  <c r="D86" i="73"/>
  <c r="D76" i="73"/>
  <c r="D71" i="73"/>
  <c r="D72" i="73"/>
  <c r="D87" i="73"/>
  <c r="C17" i="45"/>
  <c r="D6" i="73" l="1"/>
  <c r="B3" i="45" l="1"/>
  <c r="B2" i="45"/>
  <c r="B17" i="45"/>
  <c r="E15" i="61" l="1"/>
  <c r="H15" i="61"/>
  <c r="H11" i="61" l="1"/>
  <c r="E13" i="61"/>
  <c r="E14" i="61"/>
  <c r="H10" i="61"/>
  <c r="E8" i="61"/>
  <c r="E16" i="61"/>
  <c r="E10" i="61"/>
  <c r="H12" i="61"/>
  <c r="H14" i="61"/>
  <c r="E9" i="61"/>
  <c r="H8" i="61"/>
  <c r="H13" i="61"/>
  <c r="E12" i="61"/>
  <c r="H16" i="61"/>
  <c r="H7" i="61"/>
  <c r="B6" i="61"/>
  <c r="E7" i="61"/>
  <c r="I6" i="61"/>
  <c r="J6" i="61"/>
  <c r="A6" i="61"/>
  <c r="E11" i="61"/>
  <c r="F6" i="61"/>
  <c r="H9" i="61"/>
  <c r="D12" i="61" l="1"/>
  <c r="D10" i="61"/>
  <c r="D8" i="61"/>
  <c r="D16" i="61"/>
  <c r="H6" i="61"/>
  <c r="D9" i="61"/>
  <c r="E6" i="61"/>
  <c r="D7" i="61"/>
  <c r="D11" i="61"/>
  <c r="C9" i="61" l="1"/>
  <c r="C23" i="61"/>
  <c r="C7" i="61"/>
  <c r="C11" i="61"/>
  <c r="D6" i="61"/>
  <c r="C24" i="61"/>
  <c r="C13" i="61"/>
  <c r="C16" i="61"/>
  <c r="C15" i="61"/>
  <c r="C14" i="61"/>
  <c r="C12" i="61"/>
  <c r="C8" i="61"/>
  <c r="C10" i="61"/>
  <c r="C22" i="61" l="1"/>
  <c r="C6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1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طبق تعریف سرآمدان شامل:
اعلامی از بنیاد نخبگان و فدراسیون سرآمدان علمی ایران
</t>
        </r>
      </text>
    </comment>
    <comment ref="C4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دانشجو15743
هیات علمی519
</t>
        </r>
      </text>
    </comment>
    <comment ref="D47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 16664.4
هیات علمی 517</t>
        </r>
      </text>
    </comment>
    <comment ref="E47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دانشجو15637.2
هیات علمی484</t>
        </r>
      </text>
    </comment>
    <comment ref="F47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 15397
هیات علمی 469</t>
        </r>
      </text>
    </comment>
  </commentList>
</comments>
</file>

<file path=xl/sharedStrings.xml><?xml version="1.0" encoding="utf-8"?>
<sst xmlns="http://schemas.openxmlformats.org/spreadsheetml/2006/main" count="552" uniqueCount="384">
  <si>
    <t>جمع</t>
  </si>
  <si>
    <t>جمع كل</t>
  </si>
  <si>
    <t>مانده سال قبل</t>
  </si>
  <si>
    <t>عنوان</t>
  </si>
  <si>
    <t>مربي</t>
  </si>
  <si>
    <t>استاديار</t>
  </si>
  <si>
    <t>دانشيار</t>
  </si>
  <si>
    <t>استاد</t>
  </si>
  <si>
    <t>طرح سربازي</t>
  </si>
  <si>
    <t>كارشناسي</t>
  </si>
  <si>
    <t>كارداني</t>
  </si>
  <si>
    <t xml:space="preserve">  توضيحات :</t>
  </si>
  <si>
    <t xml:space="preserve">عنوان </t>
  </si>
  <si>
    <t>اعتبارات هزینه ای</t>
  </si>
  <si>
    <t>حقوق ومزايا ی اعضای هیات علمی</t>
  </si>
  <si>
    <t>آمار اعضاي هيات علمي براساس مرتبه علمی</t>
  </si>
  <si>
    <t>پاداش پایان خدمت</t>
  </si>
  <si>
    <t>هزینه فرصتهای مطالعاتی وماموریتهای علمی</t>
  </si>
  <si>
    <t xml:space="preserve">جمع </t>
  </si>
  <si>
    <t>اعتبارات تملک دارائی های سرمایه ای</t>
  </si>
  <si>
    <t>مبالغ به میلیون ريال</t>
  </si>
  <si>
    <t xml:space="preserve">       مبالغ به میلیون ريال</t>
  </si>
  <si>
    <t>درآمد اختصاصی</t>
  </si>
  <si>
    <t>درآمد عمومی</t>
  </si>
  <si>
    <t>رئيس كميسيون دائمي هيات امنا - نام ونام خانوادگی :</t>
  </si>
  <si>
    <t>جمع کل</t>
  </si>
  <si>
    <t>جمع كل (اعتبارات هزینه ای )</t>
  </si>
  <si>
    <t>الف - جمع اعتبارات هزینه ای</t>
  </si>
  <si>
    <t>ب - جمع اعتبارات تملک دارائی های سرمایه ای</t>
  </si>
  <si>
    <t xml:space="preserve"> مبالغ به میلیون ريال</t>
  </si>
  <si>
    <t>پروژه های تحقیقاتی</t>
  </si>
  <si>
    <t>خدمات ورزشی</t>
  </si>
  <si>
    <t xml:space="preserve">جمع کل </t>
  </si>
  <si>
    <t xml:space="preserve">اعتبارات متفرقه ورديفهاي متمركز </t>
  </si>
  <si>
    <t>شماره طبقه بندي</t>
  </si>
  <si>
    <t>جمع کل ( اعتبارات هزینه ای وتملک دارائی های سرمایه ای )</t>
  </si>
  <si>
    <t>عنوان برنامه</t>
  </si>
  <si>
    <t>عملكرد</t>
  </si>
  <si>
    <t xml:space="preserve"> مانده مصرف نشده </t>
  </si>
  <si>
    <t>مانده اعتبار سنوات قبل</t>
  </si>
  <si>
    <t>ساير</t>
  </si>
  <si>
    <t xml:space="preserve"> مانده اعتبارسال قبل</t>
  </si>
  <si>
    <t xml:space="preserve"> مانده اعتبارسنوات قبل</t>
  </si>
  <si>
    <t xml:space="preserve"> اعتبارابلاغي</t>
  </si>
  <si>
    <t>آمار کارکنان غیر هیات علمی بر اساس مقطع تحصیلی</t>
  </si>
  <si>
    <t xml:space="preserve">  فرم شماره 1 </t>
  </si>
  <si>
    <t>هدایا و کمک های خیرین</t>
  </si>
  <si>
    <t>طرح سربازی</t>
  </si>
  <si>
    <t xml:space="preserve">حقوق ومزایای مستمر-جزء 1 بند "و " </t>
  </si>
  <si>
    <t xml:space="preserve">عیدی -جزء 1 بند "و " </t>
  </si>
  <si>
    <t xml:space="preserve">عیدی  </t>
  </si>
  <si>
    <t xml:space="preserve">پاداش </t>
  </si>
  <si>
    <t xml:space="preserve">اضافه کار  </t>
  </si>
  <si>
    <t>خرید کتب و نشریات</t>
  </si>
  <si>
    <t>بانک های اطلاعاتی وکتب نشریات ارزی</t>
  </si>
  <si>
    <t>پهنای باند اینترنت و اینترانت</t>
  </si>
  <si>
    <t>كمك به طرح هاي پژوهشي و پایان نامه دانشجو</t>
  </si>
  <si>
    <t>بنزین و CNG</t>
  </si>
  <si>
    <t>آب</t>
  </si>
  <si>
    <t>برق</t>
  </si>
  <si>
    <t>تلفن</t>
  </si>
  <si>
    <t>فضای سبز</t>
  </si>
  <si>
    <t xml:space="preserve">هزينه هاي اداري </t>
  </si>
  <si>
    <t>سایر</t>
  </si>
  <si>
    <t>اجاره</t>
  </si>
  <si>
    <t xml:space="preserve"> ماشين آلات</t>
  </si>
  <si>
    <t>زمین و ساختمان</t>
  </si>
  <si>
    <t xml:space="preserve">فرهنگی و فوق برنامه </t>
  </si>
  <si>
    <t>دیپلم وپائين تراز ديپلم</t>
  </si>
  <si>
    <t>كارشناسي ارشد و دکتری</t>
  </si>
  <si>
    <t xml:space="preserve">  فرم شماره 4 </t>
  </si>
  <si>
    <t xml:space="preserve">مشخصات طرح ها / پروژه ها </t>
  </si>
  <si>
    <t>اعتبارات سال جاري</t>
  </si>
  <si>
    <t>عملکرد سال قبل</t>
  </si>
  <si>
    <t>كل عملکرد ماقبل سال قبل</t>
  </si>
  <si>
    <t>سال خاتمه</t>
  </si>
  <si>
    <t>سال شروع</t>
  </si>
  <si>
    <t>هزینه واحد</t>
  </si>
  <si>
    <t>واحد عمليات</t>
  </si>
  <si>
    <t>حجم عملیات</t>
  </si>
  <si>
    <t>جمع کل اعتبار</t>
  </si>
  <si>
    <t>پیش بینی اعتبار سالهای بعد</t>
  </si>
  <si>
    <t>جمع اعتبار سال جاري</t>
  </si>
  <si>
    <t>اعتبارات درآمد اختصاصي</t>
  </si>
  <si>
    <t>اعتبارات در آمد عمومي</t>
  </si>
  <si>
    <t>اعتبار  سال جاري</t>
  </si>
  <si>
    <t>انتقالي از مانده هزينه اي</t>
  </si>
  <si>
    <t>جمع کل اعتبارات تملک دارائی های سرمایه ای</t>
  </si>
  <si>
    <t xml:space="preserve">  جمع  طرح ها وپروژه هاي( مطالعه ،احداث  )</t>
  </si>
  <si>
    <t>خرید تجهیزات وماشين آلات</t>
  </si>
  <si>
    <t>تعمیرات اساسی ساختمانها وتاسيسات</t>
  </si>
  <si>
    <t>قراردادهاي حجمي</t>
  </si>
  <si>
    <t>تعمير و نگهداري</t>
  </si>
  <si>
    <t>قرارداد خريد خدمت</t>
  </si>
  <si>
    <t>پاداش</t>
  </si>
  <si>
    <t>حق بیمه و بازنشستگي</t>
  </si>
  <si>
    <t>بازخريد مرخصي و سنوات</t>
  </si>
  <si>
    <t>حق التدريس</t>
  </si>
  <si>
    <r>
      <t xml:space="preserve">درصد رشد </t>
    </r>
    <r>
      <rPr>
        <b/>
        <sz val="8"/>
        <rFont val="B Badr"/>
        <charset val="178"/>
      </rPr>
      <t/>
    </r>
  </si>
  <si>
    <t>حق ماموريت</t>
  </si>
  <si>
    <t>اعضاي هيات علمي</t>
  </si>
  <si>
    <t>كاركنان غير هيات علمي</t>
  </si>
  <si>
    <t>حق التدريس مدعوين</t>
  </si>
  <si>
    <t>گاز و گازوئيل</t>
  </si>
  <si>
    <t>حمايت مالي از واحدهاي فناور</t>
  </si>
  <si>
    <t>هزينه هاي پشتيباني فن آوري</t>
  </si>
  <si>
    <t>کاهش(انتقالی به تملك دارائيهاي سرمايه اي)</t>
  </si>
  <si>
    <t>تسهيلات</t>
  </si>
  <si>
    <t>اضافه کار و بهره وري</t>
  </si>
  <si>
    <t>قرارداد انجام کار مشخص، معین و موقت يكساله</t>
  </si>
  <si>
    <t>مشاوره و داوری پایان نامه</t>
  </si>
  <si>
    <t>هزینه  مواد مصرفی آموزشی، پژوهشی و کارگاهی</t>
  </si>
  <si>
    <t>اياب و ذهاب دانشجويي</t>
  </si>
  <si>
    <t>خدمات خوابگاهي</t>
  </si>
  <si>
    <t>حمل و نقل اداري</t>
  </si>
  <si>
    <t>تغذيه دانشجويي</t>
  </si>
  <si>
    <t>حقوق ومزايا ی کارکنان غير هيات علمي(رسمي و پيماني)</t>
  </si>
  <si>
    <t>حق التحقیق وگرنت</t>
  </si>
  <si>
    <t>برگزاري و شركت در نمايشگاه، جشنواره و همايش، ثبت اختراعات و  ....</t>
  </si>
  <si>
    <t>ملزومات و مواد مصرفی اداري</t>
  </si>
  <si>
    <t xml:space="preserve">                                                                                                                                      </t>
  </si>
  <si>
    <t>كارشناسي ارشد</t>
  </si>
  <si>
    <t>دكتري  حرفه اي</t>
  </si>
  <si>
    <t xml:space="preserve">دكتري تخصصي </t>
  </si>
  <si>
    <t>مقطع تحصيلي</t>
  </si>
  <si>
    <t>شرح</t>
  </si>
  <si>
    <t>علوم انساني</t>
  </si>
  <si>
    <t>علوم پايه</t>
  </si>
  <si>
    <t>كشاورزي و دامپزشكي</t>
  </si>
  <si>
    <t>فني و مهندسي</t>
  </si>
  <si>
    <t>هنر</t>
  </si>
  <si>
    <t xml:space="preserve">     : توضيحات</t>
  </si>
  <si>
    <t>آمار دانشجو معيار</t>
  </si>
  <si>
    <t xml:space="preserve">آمار دانشجويان روزانه </t>
  </si>
  <si>
    <t>گروه تحصيلي</t>
  </si>
  <si>
    <t>آمار دانشجويان نيمه حضوري</t>
  </si>
  <si>
    <t>قرارداد انجام کار مشخص ، معین و موقت يكساله</t>
  </si>
  <si>
    <t>ديون پرسنلي</t>
  </si>
  <si>
    <t>سوخت ، آب ، برق و تلفن</t>
  </si>
  <si>
    <t xml:space="preserve"> درآمد عمومی</t>
  </si>
  <si>
    <t xml:space="preserve"> درآمد اختصاصی</t>
  </si>
  <si>
    <t xml:space="preserve">فرم شماره 5 </t>
  </si>
  <si>
    <t>فرم شماره 6</t>
  </si>
  <si>
    <t>علوم پزشكي</t>
  </si>
  <si>
    <t>شماره رديف دستگاه ابلاغ دهنده</t>
  </si>
  <si>
    <t>فرم شماره 8</t>
  </si>
  <si>
    <t xml:space="preserve"> اعتبار تخصيص يافته   </t>
  </si>
  <si>
    <t>مشمولين قانون كار</t>
  </si>
  <si>
    <t>رسمي</t>
  </si>
  <si>
    <t>پيماني</t>
  </si>
  <si>
    <t>افزایش(استخدام جدید،انتقال و .....)</t>
  </si>
  <si>
    <t>كاهش(بازنشسته،انتقال،بازخرید، فوت و .....)</t>
  </si>
  <si>
    <t>درصد پيشرفت فيزيكي واقعي</t>
  </si>
  <si>
    <t>شاخص</t>
  </si>
  <si>
    <t>ساختار هزینه</t>
  </si>
  <si>
    <t>نحوه محاسبه شاخص</t>
  </si>
  <si>
    <t>هزینه های دانشجوی و فرهنگی از  اعتبار هزینه ای</t>
  </si>
  <si>
    <t>نسبت درامد اختصاصی حاصل از آموزش  به کل درآمد اختصاصی</t>
  </si>
  <si>
    <t>درآمد پایدار</t>
  </si>
  <si>
    <t>نسبت دانشجو به هیات علمی</t>
  </si>
  <si>
    <t>نسبت موزون دانشجو به هیات علمی (کارشناسی1، ارشد 1.6 و دکتری 3.5)</t>
  </si>
  <si>
    <t>نسبت دانشیار و استاد از کل اعضای هیات علمی</t>
  </si>
  <si>
    <t>ساختار پرسنلی و دانشجویی</t>
  </si>
  <si>
    <t>تعداد سرآمدان علمی</t>
  </si>
  <si>
    <t xml:space="preserve"> نسبت هزینه پرسنلی از اعتبار هزینه ای</t>
  </si>
  <si>
    <t>جمع هزینه پرسنلی (عمومي و اختصاصي) هیئت علمی و غیر هیئت علمی (رسمی و پیمانی و قراردادی) تقسیم بر كل اعتبارات هزينه ای (عمومي و اختصاصي)</t>
  </si>
  <si>
    <t xml:space="preserve"> نسبت هزینه های پژوهش و فناوری از اعتبار هزینه ای</t>
  </si>
  <si>
    <t>جمع هزینه دانشجویی و فرهنگی (عمومي و اختصاصي) تقسیم بر كل اعتبارات هزينه ای (عمومي و اختصاصي)</t>
  </si>
  <si>
    <t>جمع هزينه تحقيقاتي و توسعه فناوري (عمومي و اختصاصي) تقسیم بر كل اعتبارات هزينه ای (عمومي و اختصاصي)</t>
  </si>
  <si>
    <t xml:space="preserve"> نسبت هزینه شرکتی از اعتبار هزینه ای</t>
  </si>
  <si>
    <t>جمع هزینه شرکتی و قراردهای حجمی (عمومي و اختصاصي) تقسیم بر كل اعتبارات هزينه ای (عمومي و اختصاصي)</t>
  </si>
  <si>
    <t>سرانه حق التحقیق وگرنت</t>
  </si>
  <si>
    <t>جمع هزینه حق التحقیق وگرنت (عمومي و اختصاصي) تقسیم بر كل اعتبارات هزينه ای (عمومي و اختصاصي)</t>
  </si>
  <si>
    <t>اعتبار درآمد اختصاصي تقسیم بر كل اعتبارات هزينه ای (عمومي و اختصاصي)</t>
  </si>
  <si>
    <t>سهم درامد اختصاصی از بودجه</t>
  </si>
  <si>
    <t>درآمد حاصل از موقوفات (هزینه ای و سرمایه ای) تقسیم بر اعتبار اختصاصي</t>
  </si>
  <si>
    <t>درآمد حاصل از تحقیقات و پژوهش تقسیم بر اعتبار اختصاصي</t>
  </si>
  <si>
    <t>درآمد حاصل از خدمات آموزشی تقسیم بر اعتبار اختصاصي</t>
  </si>
  <si>
    <t>تعداد دانشجو (روزانه و نوبت دوم) تقسیم بر تعداد پرسنل غیرهیئت علمی (رسمی، پیمانی و قراردادی)</t>
  </si>
  <si>
    <t>تعداد دانشجو (روزانه و نوبت دوم) تقسیم بر تعداد هیئت علمی</t>
  </si>
  <si>
    <t>تعداد دانشجو موزون (روزانه و نوبت دوم) تقسیم بر تعداد هیئت علمی</t>
  </si>
  <si>
    <t>تعداد دانشجو (روزانه و نوبت دوم) تحصیلات تکمیلی (ارشد و دکتری) تقسیم بر تعداد دانشجو (روزانه و نوبت دوم)</t>
  </si>
  <si>
    <t>تعداد دانشیار و استاد تقسیم بر تعداد کل اعضای هیات علمی</t>
  </si>
  <si>
    <t>اختصاصی</t>
  </si>
  <si>
    <r>
      <t>از محل اعتبار ابلاغی</t>
    </r>
    <r>
      <rPr>
        <b/>
        <sz val="14"/>
        <color indexed="10"/>
        <rFont val="B Badr"/>
        <charset val="178"/>
      </rPr>
      <t xml:space="preserve"> </t>
    </r>
  </si>
  <si>
    <t>ابلاغ</t>
  </si>
  <si>
    <t xml:space="preserve">شماره برنامه یا طرح </t>
  </si>
  <si>
    <t xml:space="preserve">جمع کل هزینه ای </t>
  </si>
  <si>
    <t>جمع کل  تملک  دارایی های سرمایه ای</t>
  </si>
  <si>
    <t>مقادیر کمی سنجه</t>
  </si>
  <si>
    <t>توضیحات ضروری:</t>
  </si>
  <si>
    <t>نسبت هزینه هیات علمی از اعتبار پرسنلی</t>
  </si>
  <si>
    <t>جمع هزینه هیئت علمی (عمومي و اختصاصي) تقسیم بر كل اعتبارات پرسنلی (عمومي و اختصاصي)</t>
  </si>
  <si>
    <t>جمع هزینه پرسنل غیرهیئت علمی (عمومي و اختصاصي) تقسیم بر كل اعتبارات پرسنلی (عمومي و اختصاصي)</t>
  </si>
  <si>
    <t>نسبت اعتبار گرنت و کمک به رساله از اعتبار عمومی پژوهش</t>
  </si>
  <si>
    <t>عملکردی و فرایند مدیریتی</t>
  </si>
  <si>
    <t>سرانه مقالات علمی و پژوهشی داخلی به هیات علمی</t>
  </si>
  <si>
    <t>سرانه مقالات ISI به هیات علمی</t>
  </si>
  <si>
    <t>نسبت مقالات مجلات Q1 به کل مقالات در WOS</t>
  </si>
  <si>
    <t xml:space="preserve">تعداد واحدهای فناور مستقر در پارک و یا مراکز رشد </t>
  </si>
  <si>
    <t xml:space="preserve">تعداد شرکت های دانش بنیان دانشگاهی </t>
  </si>
  <si>
    <r>
      <t>اعتبارات متفرقه، متمرکز و سایر منابع</t>
    </r>
    <r>
      <rPr>
        <b/>
        <sz val="14"/>
        <color indexed="8"/>
        <rFont val="B Badr"/>
        <charset val="178"/>
      </rPr>
      <t xml:space="preserve"> </t>
    </r>
  </si>
  <si>
    <t>1- منابع عمومي (کمک دولت)</t>
  </si>
  <si>
    <t xml:space="preserve">2- درآمد اختصاصي </t>
  </si>
  <si>
    <t>هدف</t>
  </si>
  <si>
    <t>عنوان برنامه/فعالیت</t>
  </si>
  <si>
    <t>افزايش / کاهش (موردی ابلاغ)</t>
  </si>
  <si>
    <t>افزايش / کاهش</t>
  </si>
  <si>
    <t>انتقالي از مانده اختصاصی</t>
  </si>
  <si>
    <t>مانده از سال قبل</t>
  </si>
  <si>
    <t>مانده ازسال قبل</t>
  </si>
  <si>
    <t>اعتبار ات متمركز و متفرقه/ خیرین/ تسهیلات/ هدایا سال جاري</t>
  </si>
  <si>
    <t xml:space="preserve"> خدمات و نظافت</t>
  </si>
  <si>
    <t>پشتيباني تاسيسات و موتورخانه ها</t>
  </si>
  <si>
    <t>سنجه یا محصول</t>
  </si>
  <si>
    <t xml:space="preserve">هزینه های توسعه فناوري </t>
  </si>
  <si>
    <t>هزینه های تحقیقاتی</t>
  </si>
  <si>
    <t>حق بیمه سهم كارفرما و بازنشستگي-جزء 1 بند "و "  (اعضای هیئت علمی)</t>
  </si>
  <si>
    <t>خدمات رفاهی (اعضای هیئت علمی)</t>
  </si>
  <si>
    <t>حق بیمه سهم كارفرما و بازنشستگي-جزء 1 بند "و " (کارکنان غیر هیئت علمی رسمی و پیمانی)</t>
  </si>
  <si>
    <t>خدمات رفاهی  (کارکنان غیر هیئت علمی رسمی و پیمانی)</t>
  </si>
  <si>
    <t>حق ماموريت  (کارکنان غیر هیئت علمی رسمی و پیمانی)</t>
  </si>
  <si>
    <t xml:space="preserve">حقوق و مزاياي مستمر </t>
  </si>
  <si>
    <t>قرارداد خرید خدمت  (اعضای هیئت علمی)</t>
  </si>
  <si>
    <t>تعداد اشتغال واحدهای فناوری و شرکت های دانش بنیان  مستقر در پارک و یا مراکز رشد</t>
  </si>
  <si>
    <t>میزان فروش واحدهای فناوری و شرکت های دانش بنیان  مستقر در پارک و یا مراکز رشد</t>
  </si>
  <si>
    <t>انتقالي ازمانده سنوات قبل به تملک  دارایی های سرمایه ای</t>
  </si>
  <si>
    <t>ردیف</t>
  </si>
  <si>
    <t>10000- فصل جبران خدمات كاركنان</t>
  </si>
  <si>
    <t xml:space="preserve"> 20000 - فصل ‌استفاده از كالا ها و خدمات</t>
  </si>
  <si>
    <t xml:space="preserve"> تعداد پرسنل شرکتی تقسیم بر تعداد پرسنل غیر هیئت علمی (رسمی، پیمانی و قراردادی)</t>
  </si>
  <si>
    <t xml:space="preserve">نسبت  نیروهای شرکتی به کارکنان </t>
  </si>
  <si>
    <t>عملکرد</t>
  </si>
  <si>
    <t>سهم درامد حاصل از موقوفات (هزینه ای و سرمایه ای) از کل درآمد اختصاصی</t>
  </si>
  <si>
    <t>نسبت درامد اختصاصی حاصل درامدهای پژوهشی به کل درآمد اختصاصی</t>
  </si>
  <si>
    <t>عنوان طرح و پروژه ها</t>
  </si>
  <si>
    <t>کمک های بلاعوض</t>
  </si>
  <si>
    <t>آمار دانشجويان بین الملل</t>
  </si>
  <si>
    <t>درصد اشتغال پذیری دانش آموختگان</t>
  </si>
  <si>
    <t>تعداد اختراعات ثبت شده  بین المللی</t>
  </si>
  <si>
    <t>تعداد اختراعات ثبت شده ملی</t>
  </si>
  <si>
    <t>تعداد دانشجوی خارجی غیربورسیه</t>
  </si>
  <si>
    <t>تعداد طرح های مشترک خارجی</t>
  </si>
  <si>
    <t>سرانه اعتباری طرح مصوب تحقیقاتی تقاضا محور  به ازای هرعضو هیات علمی</t>
  </si>
  <si>
    <t>سرانه درآمد حاصل از  پژوهش و فناوری به ازای هر عضو هیات علمی</t>
  </si>
  <si>
    <t>میزان تحقق اهداف و شاخصهای عملکردی مندرج در سند راهبردی</t>
  </si>
  <si>
    <t xml:space="preserve">تعداد رشته محل های بازنگری شده براساس طرح آمایش </t>
  </si>
  <si>
    <t>سرانه درامد حاصل از دوره های آموزشی تخصصی کوتاه مدت به ازای هرعضو هیات علمی</t>
  </si>
  <si>
    <t>متوسط طول دوره تحصیل کارشناسی</t>
  </si>
  <si>
    <t>متوسط طول دوره تحصیل کارشناسی ارشد</t>
  </si>
  <si>
    <t>متوسط طول دوره تحصیل کارشناسی دکترا</t>
  </si>
  <si>
    <t>نسبت هزینه غیر هیات علمی (رسمی، پیمانی و قراردادی ) از اعتبار پرسنلی</t>
  </si>
  <si>
    <t xml:space="preserve">طبقه بندی شاخص </t>
  </si>
  <si>
    <t>مشمولین قانون كار و شرکتی</t>
  </si>
  <si>
    <t xml:space="preserve">  فرم شماره10  (استفاده از این فرم اختیاری می باشد)</t>
  </si>
  <si>
    <t xml:space="preserve">عملكرد سال قبل ازمحل درآمد عمومي </t>
  </si>
  <si>
    <t>عملكرد سال قبل ازمحل درآمد اختصاصي</t>
  </si>
  <si>
    <t xml:space="preserve">  فرم شماره 9  (شاخص های عملکردی)</t>
  </si>
  <si>
    <t>آمار دانشجويان نوبت دوم</t>
  </si>
  <si>
    <t>هزينه هاي تغذيه دانشجويي،فرهنگي،رفاهي و فوق برنامه دانشجويي</t>
  </si>
  <si>
    <t>بازخرید ذخیره مرخصی</t>
  </si>
  <si>
    <t>خدمات رفاهی(قرارداد انجام کار مشخص، معین و موقت یکساله)</t>
  </si>
  <si>
    <t>تغذیه دانشجویی</t>
  </si>
  <si>
    <t>ایاب و ذهاب</t>
  </si>
  <si>
    <t>خدمات خوابگاهی</t>
  </si>
  <si>
    <t>بازخرید سنوات (اعضای هیئت علمی)</t>
  </si>
  <si>
    <t>بازخرید سنوات  (کارکنان غیر هیئت علمی رسمی و پیمانی)</t>
  </si>
  <si>
    <t>سایر(هزینه های عوارض شهرداری، حق الوکاله، جرائم دادگاه، بیمه وسائط نقلیه، تجهیزات و ساختمان ها و ..)</t>
  </si>
  <si>
    <t>برون سپاری</t>
  </si>
  <si>
    <t>حقوق و مزايا ی کارکنان غير هيات علمي(رسمي و پيماني)</t>
  </si>
  <si>
    <t>حقوق و مزايا ی اعضای هیات علمی</t>
  </si>
  <si>
    <t>خدمات رفاهی کارکنان بازنشسته و مستمری بگیر</t>
  </si>
  <si>
    <t xml:space="preserve"> برون سپاری </t>
  </si>
  <si>
    <t>جمع  هزينه هاي تغذيه دانشجويي،فرهنگي،رفاهي و فوق برنامه دانشجويي</t>
  </si>
  <si>
    <t>جمع (ازمحل منابع عمومي ، اختصاصي ورديفهاي متفرقه ومتمركز )</t>
  </si>
  <si>
    <t xml:space="preserve"> منابع عمومی</t>
  </si>
  <si>
    <t>منابع عمومی</t>
  </si>
  <si>
    <t>بيمه دانشجوئي</t>
  </si>
  <si>
    <t>حق ماموريت(هيات علمي)</t>
  </si>
  <si>
    <t>خدمات مشاوره اي ،بهداشت و درمان دانشجويان</t>
  </si>
  <si>
    <t>میزان صادرات واحدهای فناوری و شرکت های دانش بنیان  مستقر در پارک و یا مراکز رشد( دلار)</t>
  </si>
  <si>
    <t>سرانه ارجاعات مقالات و مستندات ثبت شده به کل مقالات</t>
  </si>
  <si>
    <r>
      <t xml:space="preserve">  تعداد نشریات نمایه شده در پایگاه های بین المللی </t>
    </r>
    <r>
      <rPr>
        <b/>
        <sz val="10"/>
        <color indexed="8"/>
        <rFont val="B Nazanin"/>
        <charset val="178"/>
      </rPr>
      <t>WOS</t>
    </r>
  </si>
  <si>
    <r>
      <t xml:space="preserve">نسبت دانشجو به کارمند (رسمی، پیمانی، قراردادی </t>
    </r>
    <r>
      <rPr>
        <b/>
        <sz val="10"/>
        <color theme="1"/>
        <rFont val="B Nazanin"/>
        <charset val="178"/>
      </rPr>
      <t>و شرکتی)</t>
    </r>
  </si>
  <si>
    <t>نسبت دانشجو نحصیلات تکمیلی از کل دانشجویان</t>
  </si>
  <si>
    <t>تعمیرات اساسی، خرید تجهیزات، محوطه سازي و تاسيسات زير بنائي</t>
  </si>
  <si>
    <t>فرم شماره 2</t>
  </si>
  <si>
    <t xml:space="preserve">فرم شماره  3 </t>
  </si>
  <si>
    <t>فرم شماره 1 - 5  الف (هزینه ها به تفکیک منابع انسانی و سایر عملیاتی )</t>
  </si>
  <si>
    <t>فرم شماره 1 - 5 ب (هزینه ها به تفکیک حوزه فعالیت )</t>
  </si>
  <si>
    <t xml:space="preserve">فرم شماره 7  </t>
  </si>
  <si>
    <t>اعتبارات  متفرقه / ابلاغ موردی و سایر منابع ( هزينه اي و تملک  دارایی های سرمایه ای )</t>
  </si>
  <si>
    <t>پیش بینی</t>
  </si>
  <si>
    <t>تعمیرات اساسی و خرید تجهیزات و ماشین آلات</t>
  </si>
  <si>
    <t>مترمربع</t>
  </si>
  <si>
    <t>پارک</t>
  </si>
  <si>
    <t>از محل اعتبار ابلاغی</t>
  </si>
  <si>
    <t>.</t>
  </si>
  <si>
    <t>توسعه فن آوری و فن آفرینی</t>
  </si>
  <si>
    <t xml:space="preserve"> توضیحات: </t>
  </si>
  <si>
    <t xml:space="preserve"> توضیحات ضروری در خصوص اهداف و ماموریت ها </t>
  </si>
  <si>
    <t>ساير (حق مديريت خارج از حكم، جذب هيات امنا از محل درآمد و .....)</t>
  </si>
  <si>
    <t>عملکرد 1402</t>
  </si>
  <si>
    <t>سال 1403</t>
  </si>
  <si>
    <t>تخصیص 1403</t>
  </si>
  <si>
    <t>عملكرد 1403</t>
  </si>
  <si>
    <t>اعتبار 1404</t>
  </si>
  <si>
    <t>بودجه تفصیلی 1404</t>
  </si>
  <si>
    <t xml:space="preserve">اعتبارات سال 1404 ازمحل منابع عمومي </t>
  </si>
  <si>
    <t>اعتبارات  سال 1404 ازمحل درآمداختصاصي</t>
  </si>
  <si>
    <t xml:space="preserve"> جمع کل اعتبارات  سال 1404</t>
  </si>
  <si>
    <t xml:space="preserve"> بودجه تفصیلی 1404</t>
  </si>
  <si>
    <t xml:space="preserve"> بودجه تفصیلی 1404 </t>
  </si>
  <si>
    <t>عملکرد 1403</t>
  </si>
  <si>
    <t>اعتبارات 1404</t>
  </si>
  <si>
    <t>نسبت اعتبارات سال 1404</t>
  </si>
  <si>
    <t>ابلاغي 1404</t>
  </si>
  <si>
    <t>اعتبارات هزينه اي سال 1404</t>
  </si>
  <si>
    <t>انتهای سال 1403</t>
  </si>
  <si>
    <t xml:space="preserve"> پيش بيني 1404</t>
  </si>
  <si>
    <t>سال 1404</t>
  </si>
  <si>
    <t xml:space="preserve"> اعتبار ابلاغ شده  سال 1404</t>
  </si>
  <si>
    <t>هرینه واحد 1403</t>
  </si>
  <si>
    <t>116-0319</t>
  </si>
  <si>
    <t>توسعه فناوری و ارتقاء فن آفرینی</t>
  </si>
  <si>
    <t>الف-شرح چالش ها و فرصت های عمده  اقتصادی، اجتماعی، زیست محیطی و فرهنگی حوزه نفوذ دانشگاه/موسسه (حداکثر 5 مورد):</t>
  </si>
  <si>
    <t>ب-اهم دستاوردهای ناشی از پیگیری اهداف و ماموریت های دانشگاه/موسسه در راستای رفع چالش ها یا بالفعل کردن فرصت های حوزه نفوذ در سال گذشته (حداکثر 5 مورد):</t>
  </si>
  <si>
    <t xml:space="preserve">رییس دستگاه اجرایی : </t>
  </si>
  <si>
    <t xml:space="preserve">رئيس كميسيون دائمي هيات امنا - نام و نام خانوادگی : </t>
  </si>
  <si>
    <t>عنوان دستگاه : پارک علم و فناوری سمنان</t>
  </si>
  <si>
    <t>شماره ردیف دستگاه: 113527</t>
  </si>
  <si>
    <t>شماره ردیف دستگاه : 113527</t>
  </si>
  <si>
    <t>نام دستگاه: پارک علم و فناوری سمنان</t>
  </si>
  <si>
    <t>عنوان دستگاه : پارک علم  وفناوری سمنان</t>
  </si>
  <si>
    <t xml:space="preserve">عنوان دستگاه : پارک علم و فناوری سمنان </t>
  </si>
  <si>
    <t>رییس دستگاه اجرایی : دکتر محسن نظری</t>
  </si>
  <si>
    <t>رئيس كميسيون دائمي هيات امنا - نام و نام خانوادگی : دکتر رضا قنبری</t>
  </si>
  <si>
    <t>شماره ردیف دستگاه 113527</t>
  </si>
  <si>
    <t xml:space="preserve">توضیحات:1- </t>
  </si>
  <si>
    <t>3- این اصلاحیه طبق دستور ........... در ......... نشست از دوره ...... هیئت امنای منطقه  فناوری مورخ ........... به تصویب رسیده است.</t>
  </si>
  <si>
    <t>رئيس هيات امنا:دكتر حسین سیمایی صراف</t>
  </si>
  <si>
    <t>ارتقاء بهره وری</t>
  </si>
  <si>
    <t>تامین فضاهای پژوهشی و فناوری پارک علم و فناوری (پردیس فناوری های نوین)</t>
  </si>
  <si>
    <t>مرکز</t>
  </si>
  <si>
    <t>طرح ایجاد زیرساخت‌های پارک‌ها و مراکز علمی، فناوری و رشد گرمسار</t>
  </si>
  <si>
    <t>طرح احداث و تکمیل پارک‌ها و مراکز علمی، فناوری و رشد گرمسار</t>
  </si>
  <si>
    <t>طرح احداث و تکمیل پارک‌ها و مراکز علمی، فناوری و رشد شاهرود</t>
  </si>
  <si>
    <t>طرح احداث و تکمیل پارک‌ها و مراکز علمی، فناوری و رشد دامغان</t>
  </si>
  <si>
    <t>تامین فضای پارک علم و فناوری (مجتمع رویش فناوری)</t>
  </si>
  <si>
    <t>تامین فضای پژوهشی و فناوری پارک علم و فناوری (پردیس فناوری‌های نوین)</t>
  </si>
  <si>
    <t>محوطه سازي و تاسيسات زير بنائي</t>
  </si>
  <si>
    <t>مدیریت سبز</t>
  </si>
  <si>
    <t>طرح تعمیر و تجهیز پارک‌ها و مراکز علمی، فناوری و رشد گرمسار</t>
  </si>
  <si>
    <t>طرح تعمیر و تجهیز پارک‌ها و مراکز علمی، فناوری و رشد دامغان</t>
  </si>
  <si>
    <t>طرح تعمیر و تجهیز پارک‌ها و مراکز علمی، فناوری و رشد مهدیشهر</t>
  </si>
  <si>
    <t>طرح تعمیر و تجهیز پارک‌ها و مراکز علمی، فناوری و رشد میامی</t>
  </si>
  <si>
    <t>طرح تعمیر و تجهیز پارک‌ها و مراکز علمی، فناوری و رشد آرادان</t>
  </si>
  <si>
    <r>
      <t xml:space="preserve">توضیحات : </t>
    </r>
    <r>
      <rPr>
        <sz val="14"/>
        <rFont val="B Badr"/>
        <charset val="178"/>
      </rPr>
      <t xml:space="preserve">. ردیف مدیریت سبز به استناد بخشنامه شماره 31154/15 مورخ 1396/2/19مرکز هیات امنا ایجاد شده است و برای تحقق اهداف نامه شماره 98497/6 مورخ 1395/5/12 هزینه خواهد شد.
</t>
    </r>
  </si>
  <si>
    <t>رئيس كميسيون دائمي هيات امنا - نام ونام خانوادگی : دکتر رضا قنبری</t>
  </si>
  <si>
    <t>نسبت اعتبارات سال 1403</t>
  </si>
  <si>
    <t xml:space="preserve">  50000 - فصل کمک بلاعوض</t>
  </si>
  <si>
    <t>60000-فصل رفاه اجتماعی</t>
  </si>
  <si>
    <t>70000 -  فصل ساير هزينه ها</t>
  </si>
  <si>
    <t>راهبری و توسعه فناوری های نو پدید</t>
  </si>
  <si>
    <t>پژوهش و راهبردی علم و فناوری</t>
  </si>
  <si>
    <t>توسعه فن آفرینی</t>
  </si>
  <si>
    <t>سایر منابع طرح های پژوهشی وزارت دفاع</t>
  </si>
  <si>
    <t>سایر منابع همکاری با متخصصان ایرانی خارج کشور</t>
  </si>
  <si>
    <t>ارتقای شاخص های دانش بنیانی اقتصاد</t>
  </si>
  <si>
    <t>خرید تجهیزات آزمایشگاهی و کارگاهی</t>
  </si>
  <si>
    <t>خرید تجهیزات هوش مصنوعی (صندوق فناوری‌های نوظهور دیجیتال)</t>
  </si>
  <si>
    <t>جمع آوری و ساماندهی آبهای سطحی و مدیریت آب و پساب (مدیریت سبز)</t>
  </si>
  <si>
    <t>توسعه فن آوری و فن آفرینی (معاونت علمی و فناوری ریاست جمهوری)</t>
  </si>
  <si>
    <t>راهبری و توسعه فناوری های نو پدید (معاونت علمی و فناوری ریاست جمهوری)</t>
  </si>
  <si>
    <t>حمایت از رفع گلوگاه های اقتصادی و صنعتی (معاونت علمی و فناوری ریاست جمهوری)</t>
  </si>
  <si>
    <t>تجاری سازی یافته های پژوهشی (معاونت علمی و فناوری ریاست جمهوری)</t>
  </si>
  <si>
    <t>اعتبارات بند 2 ماده 34 ضوابط اجرایی بودجه 1401</t>
  </si>
  <si>
    <t>کمک به تکمیل فضاهای آموزشی تا 2000 مترمربع (50درصد پژوهشی)</t>
  </si>
  <si>
    <t>تامین فضای پارک علم و فناوری (صندوق پژوهش و فناوری غیردولتی صنایع معدنی)</t>
  </si>
  <si>
    <t xml:space="preserve"> توضیحات : یک نفر نیروی قراردادی دیپلم در تاریخ 1403/12/27 بازنشسته شده است.</t>
  </si>
  <si>
    <t>رئيس كميسيون دائمي هيات امنا - نام ونام خانوادگی: دکتر رضا قنبری</t>
  </si>
  <si>
    <t>معاونت فناوری و نوآوری</t>
  </si>
  <si>
    <t>معاونت پشتیبانی</t>
  </si>
  <si>
    <t>رئیس دستگاه اجرایی : دکتر محسن نظری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</si>
</sst>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Arial"/>
      <charset val="178"/>
    </font>
    <font>
      <sz val="8"/>
      <name val="Arial"/>
      <family val="2"/>
    </font>
    <font>
      <sz val="12"/>
      <name val="Arial"/>
      <family val="2"/>
    </font>
    <font>
      <sz val="12"/>
      <name val="B Badr"/>
      <charset val="178"/>
    </font>
    <font>
      <b/>
      <sz val="12"/>
      <name val="B Badr"/>
      <charset val="178"/>
    </font>
    <font>
      <b/>
      <sz val="14"/>
      <name val="B Badr"/>
      <charset val="178"/>
    </font>
    <font>
      <sz val="10"/>
      <name val="Arial"/>
      <family val="2"/>
    </font>
    <font>
      <sz val="10"/>
      <name val="B Nazanin"/>
      <charset val="178"/>
    </font>
    <font>
      <sz val="12"/>
      <name val="B Nazanin"/>
      <charset val="178"/>
    </font>
    <font>
      <sz val="10"/>
      <name val="B Badr"/>
      <charset val="178"/>
    </font>
    <font>
      <b/>
      <sz val="11"/>
      <name val="B Badr"/>
      <charset val="178"/>
    </font>
    <font>
      <b/>
      <sz val="16"/>
      <name val="B Badr"/>
      <charset val="178"/>
    </font>
    <font>
      <sz val="11"/>
      <name val="B Badr"/>
      <charset val="178"/>
    </font>
    <font>
      <b/>
      <sz val="10"/>
      <name val="B Badr"/>
      <charset val="178"/>
    </font>
    <font>
      <sz val="14"/>
      <name val="B Badr"/>
      <charset val="178"/>
    </font>
    <font>
      <b/>
      <sz val="8"/>
      <name val="B Badr"/>
      <charset val="178"/>
    </font>
    <font>
      <b/>
      <sz val="11"/>
      <color indexed="8"/>
      <name val="B Badr"/>
      <charset val="178"/>
    </font>
    <font>
      <b/>
      <sz val="14"/>
      <color indexed="10"/>
      <name val="B Badr"/>
      <charset val="178"/>
    </font>
    <font>
      <b/>
      <sz val="14"/>
      <color indexed="8"/>
      <name val="B Badr"/>
      <charset val="178"/>
    </font>
    <font>
      <b/>
      <sz val="10"/>
      <name val="B Nazanin"/>
      <charset val="178"/>
    </font>
    <font>
      <sz val="9"/>
      <color indexed="81"/>
      <name val="Tahoma"/>
      <family val="2"/>
    </font>
    <font>
      <b/>
      <sz val="10"/>
      <color indexed="8"/>
      <name val="B Nazanin"/>
      <charset val="178"/>
    </font>
    <font>
      <sz val="12"/>
      <color theme="1"/>
      <name val="B Badr"/>
      <charset val="178"/>
    </font>
    <font>
      <sz val="10"/>
      <color theme="1"/>
      <name val="B Nazanin"/>
      <charset val="178"/>
    </font>
    <font>
      <b/>
      <sz val="16"/>
      <color theme="1"/>
      <name val="B Badr"/>
      <charset val="178"/>
    </font>
    <font>
      <sz val="12"/>
      <color theme="1"/>
      <name val="Arial"/>
      <family val="2"/>
      <charset val="178"/>
    </font>
    <font>
      <sz val="10"/>
      <color theme="1"/>
      <name val="Arial"/>
      <family val="2"/>
    </font>
    <font>
      <b/>
      <sz val="12"/>
      <color theme="1"/>
      <name val="B Badr"/>
      <charset val="178"/>
    </font>
    <font>
      <b/>
      <sz val="14"/>
      <color theme="1"/>
      <name val="B Badr"/>
      <charset val="178"/>
    </font>
    <font>
      <b/>
      <sz val="10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Arial"/>
      <family val="2"/>
      <charset val="178"/>
    </font>
    <font>
      <b/>
      <sz val="14"/>
      <color theme="1"/>
      <name val="Arial"/>
      <family val="2"/>
    </font>
    <font>
      <b/>
      <sz val="10"/>
      <color theme="1"/>
      <name val="B Badr"/>
      <charset val="178"/>
    </font>
    <font>
      <b/>
      <sz val="11"/>
      <color theme="1"/>
      <name val="B Mitra"/>
      <charset val="178"/>
    </font>
    <font>
      <sz val="12"/>
      <color theme="1"/>
      <name val="B Mitra"/>
      <charset val="178"/>
    </font>
    <font>
      <b/>
      <sz val="10"/>
      <color theme="1"/>
      <name val="B Mitra"/>
      <charset val="178"/>
    </font>
    <font>
      <sz val="10"/>
      <color theme="1"/>
      <name val="B Mitra"/>
      <charset val="178"/>
    </font>
    <font>
      <b/>
      <sz val="18"/>
      <color theme="1"/>
      <name val="B Badr"/>
      <charset val="178"/>
    </font>
    <font>
      <b/>
      <sz val="12"/>
      <color theme="1"/>
      <name val="B Mitra"/>
      <charset val="178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color theme="1"/>
      <name val="B Nazanin"/>
      <charset val="178"/>
    </font>
    <font>
      <b/>
      <sz val="10"/>
      <color theme="1"/>
      <name val="Arial"/>
      <family val="2"/>
    </font>
    <font>
      <b/>
      <sz val="9"/>
      <color theme="1"/>
      <name val="B Mitra"/>
      <charset val="178"/>
    </font>
    <font>
      <sz val="16"/>
      <name val="B Badr"/>
      <charset val="178"/>
    </font>
    <font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name val="B Badr"/>
      <charset val="178"/>
    </font>
    <font>
      <b/>
      <sz val="16"/>
      <name val="B Nazanin"/>
      <charset val="178"/>
    </font>
    <font>
      <sz val="9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45">
    <xf numFmtId="0" fontId="0" fillId="0" borderId="0" xfId="0"/>
    <xf numFmtId="0" fontId="2" fillId="0" borderId="0" xfId="0" applyFont="1"/>
    <xf numFmtId="0" fontId="3" fillId="0" borderId="0" xfId="0" applyFont="1"/>
    <xf numFmtId="0" fontId="9" fillId="0" borderId="0" xfId="0" applyFont="1"/>
    <xf numFmtId="0" fontId="3" fillId="2" borderId="10" xfId="0" applyFont="1" applyFill="1" applyBorder="1"/>
    <xf numFmtId="0" fontId="26" fillId="0" borderId="0" xfId="0" applyFont="1"/>
    <xf numFmtId="0" fontId="26" fillId="2" borderId="0" xfId="0" applyFont="1" applyFill="1"/>
    <xf numFmtId="0" fontId="6" fillId="0" borderId="0" xfId="0" applyFont="1"/>
    <xf numFmtId="0" fontId="34" fillId="0" borderId="0" xfId="0" applyFont="1"/>
    <xf numFmtId="0" fontId="27" fillId="2" borderId="0" xfId="0" applyFont="1" applyFill="1" applyAlignment="1">
      <alignment vertical="center"/>
    </xf>
    <xf numFmtId="0" fontId="26" fillId="0" borderId="4" xfId="0" applyFont="1" applyBorder="1"/>
    <xf numFmtId="0" fontId="29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/>
    <xf numFmtId="0" fontId="27" fillId="2" borderId="10" xfId="0" applyFont="1" applyFill="1" applyBorder="1" applyAlignment="1">
      <alignment horizontal="right" vertical="center" readingOrder="2"/>
    </xf>
    <xf numFmtId="0" fontId="23" fillId="2" borderId="8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/>
    </xf>
    <xf numFmtId="0" fontId="34" fillId="2" borderId="72" xfId="0" applyFont="1" applyFill="1" applyBorder="1" applyAlignment="1">
      <alignment horizontal="center" vertical="center" wrapText="1"/>
    </xf>
    <xf numFmtId="0" fontId="26" fillId="0" borderId="23" xfId="0" applyFont="1" applyBorder="1"/>
    <xf numFmtId="0" fontId="26" fillId="0" borderId="21" xfId="0" applyFont="1" applyBorder="1"/>
    <xf numFmtId="0" fontId="34" fillId="0" borderId="21" xfId="0" applyFont="1" applyBorder="1"/>
    <xf numFmtId="0" fontId="27" fillId="2" borderId="24" xfId="0" applyFont="1" applyFill="1" applyBorder="1" applyAlignment="1">
      <alignment horizontal="right" vertical="center" readingOrder="2"/>
    </xf>
    <xf numFmtId="0" fontId="26" fillId="0" borderId="8" xfId="0" applyFont="1" applyBorder="1"/>
    <xf numFmtId="0" fontId="35" fillId="0" borderId="7" xfId="0" applyFont="1" applyBorder="1" applyAlignment="1">
      <alignment horizontal="center" vertical="center" wrapText="1"/>
    </xf>
    <xf numFmtId="0" fontId="29" fillId="2" borderId="58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3" fillId="2" borderId="29" xfId="0" applyFont="1" applyFill="1" applyBorder="1"/>
    <xf numFmtId="0" fontId="29" fillId="2" borderId="49" xfId="0" applyFont="1" applyFill="1" applyBorder="1" applyAlignment="1">
      <alignment horizontal="right" vertical="center" wrapText="1"/>
    </xf>
    <xf numFmtId="0" fontId="29" fillId="2" borderId="47" xfId="0" applyFont="1" applyFill="1" applyBorder="1" applyAlignment="1">
      <alignment horizontal="right" vertical="center" wrapText="1"/>
    </xf>
    <xf numFmtId="0" fontId="19" fillId="0" borderId="47" xfId="0" applyFont="1" applyBorder="1" applyAlignment="1">
      <alignment horizontal="right" vertical="center"/>
    </xf>
    <xf numFmtId="0" fontId="19" fillId="0" borderId="47" xfId="0" applyFont="1" applyBorder="1" applyAlignment="1">
      <alignment horizontal="right"/>
    </xf>
    <xf numFmtId="0" fontId="26" fillId="0" borderId="0" xfId="1" applyFont="1"/>
    <xf numFmtId="0" fontId="26" fillId="2" borderId="9" xfId="1" applyFont="1" applyFill="1" applyBorder="1"/>
    <xf numFmtId="0" fontId="26" fillId="2" borderId="10" xfId="1" applyFont="1" applyFill="1" applyBorder="1"/>
    <xf numFmtId="0" fontId="26" fillId="2" borderId="0" xfId="1" applyFont="1" applyFill="1"/>
    <xf numFmtId="0" fontId="34" fillId="0" borderId="0" xfId="1" applyFont="1"/>
    <xf numFmtId="0" fontId="27" fillId="2" borderId="0" xfId="1" applyFont="1" applyFill="1" applyAlignment="1">
      <alignment vertical="center"/>
    </xf>
    <xf numFmtId="0" fontId="19" fillId="0" borderId="29" xfId="1" applyFont="1" applyBorder="1" applyAlignment="1">
      <alignment horizontal="right" vertical="center"/>
    </xf>
    <xf numFmtId="0" fontId="19" fillId="0" borderId="29" xfId="1" applyFont="1" applyBorder="1" applyAlignment="1">
      <alignment horizontal="right"/>
    </xf>
    <xf numFmtId="0" fontId="19" fillId="0" borderId="58" xfId="1" applyFont="1" applyBorder="1" applyAlignment="1">
      <alignment horizontal="right" vertical="center"/>
    </xf>
    <xf numFmtId="0" fontId="29" fillId="2" borderId="58" xfId="1" applyFont="1" applyFill="1" applyBorder="1" applyAlignment="1">
      <alignment horizontal="right" vertical="center" wrapText="1"/>
    </xf>
    <xf numFmtId="0" fontId="29" fillId="2" borderId="29" xfId="1" applyFont="1" applyFill="1" applyBorder="1" applyAlignment="1">
      <alignment horizontal="right" vertical="center" wrapText="1"/>
    </xf>
    <xf numFmtId="0" fontId="19" fillId="0" borderId="70" xfId="1" applyFont="1" applyBorder="1" applyAlignment="1">
      <alignment horizontal="right" vertical="center"/>
    </xf>
    <xf numFmtId="0" fontId="19" fillId="0" borderId="28" xfId="1" applyFont="1" applyBorder="1" applyAlignment="1">
      <alignment horizontal="right" vertical="center"/>
    </xf>
    <xf numFmtId="0" fontId="26" fillId="0" borderId="23" xfId="1" applyFont="1" applyBorder="1"/>
    <xf numFmtId="0" fontId="26" fillId="2" borderId="27" xfId="1" applyFont="1" applyFill="1" applyBorder="1"/>
    <xf numFmtId="0" fontId="26" fillId="0" borderId="15" xfId="1" applyFont="1" applyBorder="1"/>
    <xf numFmtId="0" fontId="36" fillId="2" borderId="7" xfId="1" applyFont="1" applyFill="1" applyBorder="1" applyAlignment="1">
      <alignment horizontal="center" vertical="center"/>
    </xf>
    <xf numFmtId="0" fontId="27" fillId="2" borderId="10" xfId="1" applyFont="1" applyFill="1" applyBorder="1" applyAlignment="1">
      <alignment horizontal="right" vertical="center" readingOrder="2"/>
    </xf>
    <xf numFmtId="0" fontId="36" fillId="2" borderId="7" xfId="1" applyFont="1" applyFill="1" applyBorder="1" applyAlignment="1">
      <alignment horizontal="center" vertical="center" wrapText="1"/>
    </xf>
    <xf numFmtId="3" fontId="23" fillId="2" borderId="1" xfId="1" applyNumberFormat="1" applyFont="1" applyFill="1" applyBorder="1" applyAlignment="1">
      <alignment horizontal="center" vertical="center" wrapText="1"/>
    </xf>
    <xf numFmtId="3" fontId="43" fillId="0" borderId="4" xfId="1" applyNumberFormat="1" applyFont="1" applyBorder="1" applyAlignment="1">
      <alignment horizontal="center" vertical="center"/>
    </xf>
    <xf numFmtId="3" fontId="23" fillId="2" borderId="2" xfId="1" applyNumberFormat="1" applyFont="1" applyFill="1" applyBorder="1" applyAlignment="1">
      <alignment horizontal="center" vertical="center" wrapText="1"/>
    </xf>
    <xf numFmtId="3" fontId="29" fillId="2" borderId="4" xfId="1" applyNumberFormat="1" applyFont="1" applyFill="1" applyBorder="1" applyAlignment="1">
      <alignment horizontal="center" vertical="center"/>
    </xf>
    <xf numFmtId="3" fontId="29" fillId="2" borderId="4" xfId="1" applyNumberFormat="1" applyFont="1" applyFill="1" applyBorder="1" applyAlignment="1">
      <alignment horizontal="center" vertical="center" wrapText="1"/>
    </xf>
    <xf numFmtId="4" fontId="29" fillId="2" borderId="4" xfId="1" applyNumberFormat="1" applyFont="1" applyFill="1" applyBorder="1" applyAlignment="1">
      <alignment horizontal="center" vertical="center"/>
    </xf>
    <xf numFmtId="4" fontId="29" fillId="2" borderId="4" xfId="1" applyNumberFormat="1" applyFont="1" applyFill="1" applyBorder="1" applyAlignment="1">
      <alignment horizontal="center" vertical="center" wrapText="1"/>
    </xf>
    <xf numFmtId="3" fontId="23" fillId="2" borderId="5" xfId="1" applyNumberFormat="1" applyFont="1" applyFill="1" applyBorder="1" applyAlignment="1">
      <alignment horizontal="center" vertical="center" wrapText="1"/>
    </xf>
    <xf numFmtId="4" fontId="29" fillId="2" borderId="7" xfId="1" applyNumberFormat="1" applyFont="1" applyFill="1" applyBorder="1" applyAlignment="1">
      <alignment horizontal="center" vertical="center"/>
    </xf>
    <xf numFmtId="4" fontId="29" fillId="2" borderId="7" xfId="1" applyNumberFormat="1" applyFont="1" applyFill="1" applyBorder="1" applyAlignment="1">
      <alignment horizontal="center" vertical="center" wrapText="1"/>
    </xf>
    <xf numFmtId="3" fontId="23" fillId="2" borderId="8" xfId="1" applyNumberFormat="1" applyFont="1" applyFill="1" applyBorder="1" applyAlignment="1">
      <alignment horizontal="center" vertical="center" wrapText="1"/>
    </xf>
    <xf numFmtId="1" fontId="29" fillId="2" borderId="7" xfId="1" applyNumberFormat="1" applyFont="1" applyFill="1" applyBorder="1" applyAlignment="1">
      <alignment horizontal="center" vertical="center"/>
    </xf>
    <xf numFmtId="1" fontId="29" fillId="2" borderId="7" xfId="1" applyNumberFormat="1" applyFont="1" applyFill="1" applyBorder="1" applyAlignment="1">
      <alignment horizontal="center" vertical="center" wrapText="1"/>
    </xf>
    <xf numFmtId="3" fontId="23" fillId="2" borderId="26" xfId="1" applyNumberFormat="1" applyFont="1" applyFill="1" applyBorder="1" applyAlignment="1">
      <alignment horizontal="center" vertical="center" wrapText="1"/>
    </xf>
    <xf numFmtId="4" fontId="29" fillId="3" borderId="27" xfId="1" applyNumberFormat="1" applyFont="1" applyFill="1" applyBorder="1" applyAlignment="1">
      <alignment horizontal="center" vertical="center"/>
    </xf>
    <xf numFmtId="4" fontId="29" fillId="3" borderId="27" xfId="1" applyNumberFormat="1" applyFont="1" applyFill="1" applyBorder="1" applyAlignment="1">
      <alignment horizontal="center" vertical="center" wrapText="1"/>
    </xf>
    <xf numFmtId="4" fontId="29" fillId="3" borderId="4" xfId="1" applyNumberFormat="1" applyFont="1" applyFill="1" applyBorder="1" applyAlignment="1">
      <alignment horizontal="center" vertical="center"/>
    </xf>
    <xf numFmtId="4" fontId="29" fillId="3" borderId="4" xfId="1" applyNumberFormat="1" applyFont="1" applyFill="1" applyBorder="1" applyAlignment="1">
      <alignment horizontal="center" vertical="center" wrapText="1"/>
    </xf>
    <xf numFmtId="3" fontId="23" fillId="3" borderId="2" xfId="1" applyNumberFormat="1" applyFont="1" applyFill="1" applyBorder="1" applyAlignment="1">
      <alignment horizontal="center" vertical="center" wrapText="1"/>
    </xf>
    <xf numFmtId="0" fontId="19" fillId="3" borderId="29" xfId="1" applyFont="1" applyFill="1" applyBorder="1" applyAlignment="1">
      <alignment horizontal="right" vertical="center"/>
    </xf>
    <xf numFmtId="3" fontId="37" fillId="2" borderId="26" xfId="1" applyNumberFormat="1" applyFont="1" applyFill="1" applyBorder="1" applyAlignment="1">
      <alignment horizontal="center" vertical="center" wrapText="1"/>
    </xf>
    <xf numFmtId="3" fontId="36" fillId="2" borderId="27" xfId="1" applyNumberFormat="1" applyFont="1" applyFill="1" applyBorder="1"/>
    <xf numFmtId="3" fontId="36" fillId="2" borderId="27" xfId="1" applyNumberFormat="1" applyFont="1" applyFill="1" applyBorder="1" applyAlignment="1">
      <alignment horizontal="center" vertical="center" wrapText="1"/>
    </xf>
    <xf numFmtId="3" fontId="37" fillId="2" borderId="2" xfId="1" applyNumberFormat="1" applyFont="1" applyFill="1" applyBorder="1"/>
    <xf numFmtId="3" fontId="36" fillId="2" borderId="4" xfId="1" applyNumberFormat="1" applyFont="1" applyFill="1" applyBorder="1"/>
    <xf numFmtId="3" fontId="37" fillId="2" borderId="2" xfId="1" applyNumberFormat="1" applyFont="1" applyFill="1" applyBorder="1" applyAlignment="1">
      <alignment horizontal="center" vertical="center" wrapText="1"/>
    </xf>
    <xf numFmtId="3" fontId="36" fillId="2" borderId="4" xfId="1" applyNumberFormat="1" applyFont="1" applyFill="1" applyBorder="1" applyAlignment="1">
      <alignment horizontal="center" vertical="center"/>
    </xf>
    <xf numFmtId="3" fontId="36" fillId="2" borderId="4" xfId="1" applyNumberFormat="1" applyFont="1" applyFill="1" applyBorder="1" applyAlignment="1">
      <alignment horizontal="center" vertical="center" wrapText="1"/>
    </xf>
    <xf numFmtId="3" fontId="26" fillId="0" borderId="2" xfId="1" applyNumberFormat="1" applyFont="1" applyBorder="1"/>
    <xf numFmtId="3" fontId="44" fillId="0" borderId="4" xfId="1" applyNumberFormat="1" applyFont="1" applyBorder="1"/>
    <xf numFmtId="3" fontId="26" fillId="0" borderId="5" xfId="1" applyNumberFormat="1" applyFont="1" applyBorder="1"/>
    <xf numFmtId="3" fontId="44" fillId="0" borderId="7" xfId="1" applyNumberFormat="1" applyFont="1" applyBorder="1"/>
    <xf numFmtId="0" fontId="27" fillId="2" borderId="32" xfId="1" applyFont="1" applyFill="1" applyBorder="1" applyAlignment="1">
      <alignment vertical="center" readingOrder="2"/>
    </xf>
    <xf numFmtId="0" fontId="34" fillId="2" borderId="60" xfId="0" applyFont="1" applyFill="1" applyBorder="1" applyAlignment="1">
      <alignment horizontal="center" vertical="center" wrapText="1"/>
    </xf>
    <xf numFmtId="0" fontId="36" fillId="2" borderId="27" xfId="1" applyFont="1" applyFill="1" applyBorder="1" applyAlignment="1">
      <alignment horizontal="center" vertical="center" wrapText="1"/>
    </xf>
    <xf numFmtId="0" fontId="37" fillId="2" borderId="28" xfId="1" applyFont="1" applyFill="1" applyBorder="1" applyAlignment="1">
      <alignment horizontal="center" vertical="center" wrapText="1"/>
    </xf>
    <xf numFmtId="0" fontId="37" fillId="2" borderId="29" xfId="1" applyFont="1" applyFill="1" applyBorder="1"/>
    <xf numFmtId="0" fontId="37" fillId="2" borderId="29" xfId="1" applyFont="1" applyFill="1" applyBorder="1" applyAlignment="1">
      <alignment horizontal="center" vertical="center" wrapText="1"/>
    </xf>
    <xf numFmtId="0" fontId="26" fillId="0" borderId="29" xfId="1" applyFont="1" applyBorder="1"/>
    <xf numFmtId="0" fontId="26" fillId="0" borderId="70" xfId="1" applyFont="1" applyBorder="1"/>
    <xf numFmtId="3" fontId="48" fillId="2" borderId="4" xfId="1" applyNumberFormat="1" applyFont="1" applyFill="1" applyBorder="1" applyAlignment="1">
      <alignment horizontal="center" vertical="center"/>
    </xf>
    <xf numFmtId="3" fontId="48" fillId="2" borderId="4" xfId="1" applyNumberFormat="1" applyFont="1" applyFill="1" applyBorder="1" applyAlignment="1">
      <alignment horizontal="center" vertical="center" wrapText="1"/>
    </xf>
    <xf numFmtId="3" fontId="48" fillId="0" borderId="4" xfId="1" applyNumberFormat="1" applyFont="1" applyBorder="1" applyAlignment="1">
      <alignment horizontal="center" vertical="center"/>
    </xf>
    <xf numFmtId="0" fontId="5" fillId="2" borderId="60" xfId="0" applyFont="1" applyFill="1" applyBorder="1" applyAlignment="1">
      <alignment horizontal="right" vertical="center" wrapText="1" indent="2"/>
    </xf>
    <xf numFmtId="0" fontId="5" fillId="2" borderId="72" xfId="0" applyFont="1" applyFill="1" applyBorder="1" applyAlignment="1">
      <alignment horizontal="right" vertical="center" indent="2"/>
    </xf>
    <xf numFmtId="0" fontId="3" fillId="2" borderId="15" xfId="0" applyFont="1" applyFill="1" applyBorder="1"/>
    <xf numFmtId="0" fontId="3" fillId="2" borderId="24" xfId="0" applyFont="1" applyFill="1" applyBorder="1"/>
    <xf numFmtId="0" fontId="4" fillId="2" borderId="32" xfId="0" applyFont="1" applyFill="1" applyBorder="1" applyAlignment="1">
      <alignment horizontal="center" vertical="center"/>
    </xf>
    <xf numFmtId="0" fontId="6" fillId="0" borderId="0" xfId="1" applyAlignment="1">
      <alignment horizontal="center"/>
    </xf>
    <xf numFmtId="0" fontId="6" fillId="0" borderId="0" xfId="1"/>
    <xf numFmtId="0" fontId="4" fillId="0" borderId="0" xfId="1" applyFont="1" applyAlignment="1">
      <alignment horizontal="right" vertical="center" readingOrder="2"/>
    </xf>
    <xf numFmtId="0" fontId="2" fillId="0" borderId="0" xfId="1" applyFont="1"/>
    <xf numFmtId="3" fontId="4" fillId="0" borderId="9" xfId="1" applyNumberFormat="1" applyFont="1" applyBorder="1" applyAlignment="1">
      <alignment horizontal="right" vertical="center" wrapText="1" indent="1" readingOrder="2"/>
    </xf>
    <xf numFmtId="0" fontId="5" fillId="0" borderId="0" xfId="1" applyFont="1" applyAlignment="1">
      <alignment horizontal="center" vertical="center" wrapText="1" readingOrder="2"/>
    </xf>
    <xf numFmtId="3" fontId="4" fillId="0" borderId="10" xfId="1" applyNumberFormat="1" applyFont="1" applyBorder="1" applyAlignment="1">
      <alignment horizontal="right" vertical="center" indent="1" readingOrder="2"/>
    </xf>
    <xf numFmtId="0" fontId="4" fillId="0" borderId="30" xfId="1" applyFont="1" applyBorder="1" applyAlignment="1">
      <alignment horizontal="center" vertical="center" wrapText="1" readingOrder="2"/>
    </xf>
    <xf numFmtId="0" fontId="4" fillId="0" borderId="59" xfId="1" applyFont="1" applyBorder="1" applyAlignment="1">
      <alignment horizontal="center" vertical="center" wrapText="1" readingOrder="2"/>
    </xf>
    <xf numFmtId="3" fontId="4" fillId="0" borderId="82" xfId="1" applyNumberFormat="1" applyFont="1" applyBorder="1" applyAlignment="1">
      <alignment horizontal="center" vertical="center" readingOrder="2"/>
    </xf>
    <xf numFmtId="3" fontId="4" fillId="0" borderId="31" xfId="1" applyNumberFormat="1" applyFont="1" applyBorder="1" applyAlignment="1">
      <alignment horizontal="center" vertical="center" wrapText="1" readingOrder="2"/>
    </xf>
    <xf numFmtId="3" fontId="4" fillId="0" borderId="59" xfId="1" applyNumberFormat="1" applyFont="1" applyBorder="1" applyAlignment="1">
      <alignment horizontal="center" vertical="center" wrapText="1" readingOrder="2"/>
    </xf>
    <xf numFmtId="3" fontId="5" fillId="0" borderId="23" xfId="1" applyNumberFormat="1" applyFont="1" applyBorder="1" applyAlignment="1">
      <alignment horizontal="center" vertical="center" readingOrder="2"/>
    </xf>
    <xf numFmtId="3" fontId="5" fillId="0" borderId="34" xfId="1" applyNumberFormat="1" applyFont="1" applyBorder="1" applyAlignment="1">
      <alignment horizontal="center" vertical="center" readingOrder="2"/>
    </xf>
    <xf numFmtId="0" fontId="5" fillId="0" borderId="0" xfId="1" applyFont="1" applyAlignment="1">
      <alignment horizontal="center" vertical="center" readingOrder="2"/>
    </xf>
    <xf numFmtId="3" fontId="5" fillId="0" borderId="9" xfId="1" applyNumberFormat="1" applyFont="1" applyBorder="1" applyAlignment="1">
      <alignment horizontal="center" vertical="center" readingOrder="2"/>
    </xf>
    <xf numFmtId="3" fontId="5" fillId="0" borderId="69" xfId="1" applyNumberFormat="1" applyFont="1" applyBorder="1" applyAlignment="1">
      <alignment horizontal="center" vertical="center" readingOrder="2"/>
    </xf>
    <xf numFmtId="3" fontId="5" fillId="0" borderId="5" xfId="1" applyNumberFormat="1" applyFont="1" applyBorder="1" applyAlignment="1">
      <alignment horizontal="center" vertical="center" readingOrder="2"/>
    </xf>
    <xf numFmtId="3" fontId="5" fillId="0" borderId="86" xfId="1" applyNumberFormat="1" applyFont="1" applyBorder="1" applyAlignment="1">
      <alignment horizontal="center" vertical="center" readingOrder="2"/>
    </xf>
    <xf numFmtId="0" fontId="12" fillId="0" borderId="0" xfId="1" applyFont="1" applyAlignment="1">
      <alignment horizontal="center" vertical="center" readingOrder="2"/>
    </xf>
    <xf numFmtId="3" fontId="5" fillId="0" borderId="84" xfId="1" applyNumberFormat="1" applyFont="1" applyBorder="1" applyAlignment="1">
      <alignment horizontal="center" vertical="center" readingOrder="2"/>
    </xf>
    <xf numFmtId="3" fontId="5" fillId="0" borderId="7" xfId="1" applyNumberFormat="1" applyFont="1" applyBorder="1" applyAlignment="1">
      <alignment horizontal="center" vertical="center" readingOrder="2"/>
    </xf>
    <xf numFmtId="3" fontId="5" fillId="0" borderId="70" xfId="1" applyNumberFormat="1" applyFont="1" applyBorder="1" applyAlignment="1">
      <alignment horizontal="center" vertical="center" readingOrder="2"/>
    </xf>
    <xf numFmtId="3" fontId="5" fillId="0" borderId="1" xfId="1" applyNumberFormat="1" applyFont="1" applyBorder="1" applyAlignment="1">
      <alignment horizontal="center" vertical="center" readingOrder="2"/>
    </xf>
    <xf numFmtId="3" fontId="5" fillId="0" borderId="17" xfId="1" applyNumberFormat="1" applyFont="1" applyBorder="1" applyAlignment="1">
      <alignment horizontal="center" vertical="center" readingOrder="2"/>
    </xf>
    <xf numFmtId="3" fontId="5" fillId="0" borderId="54" xfId="1" applyNumberFormat="1" applyFont="1" applyBorder="1" applyAlignment="1">
      <alignment horizontal="center" vertical="center" readingOrder="2"/>
    </xf>
    <xf numFmtId="3" fontId="5" fillId="0" borderId="8" xfId="1" applyNumberFormat="1" applyFont="1" applyBorder="1" applyAlignment="1">
      <alignment horizontal="center" vertical="center" readingOrder="2"/>
    </xf>
    <xf numFmtId="3" fontId="5" fillId="0" borderId="58" xfId="1" applyNumberFormat="1" applyFont="1" applyBorder="1" applyAlignment="1">
      <alignment horizontal="center" vertical="center" readingOrder="2"/>
    </xf>
    <xf numFmtId="3" fontId="5" fillId="0" borderId="2" xfId="1" applyNumberFormat="1" applyFont="1" applyBorder="1" applyAlignment="1">
      <alignment horizontal="center" vertical="center" readingOrder="2"/>
    </xf>
    <xf numFmtId="3" fontId="5" fillId="0" borderId="3" xfId="1" applyNumberFormat="1" applyFont="1" applyBorder="1" applyAlignment="1">
      <alignment horizontal="center" vertical="center" readingOrder="2"/>
    </xf>
    <xf numFmtId="3" fontId="5" fillId="0" borderId="55" xfId="1" applyNumberFormat="1" applyFont="1" applyBorder="1" applyAlignment="1">
      <alignment horizontal="center" vertical="center" readingOrder="2"/>
    </xf>
    <xf numFmtId="3" fontId="11" fillId="0" borderId="29" xfId="1" applyNumberFormat="1" applyFont="1" applyBorder="1" applyAlignment="1">
      <alignment horizontal="center" vertical="center" readingOrder="2"/>
    </xf>
    <xf numFmtId="3" fontId="5" fillId="0" borderId="4" xfId="1" applyNumberFormat="1" applyFont="1" applyBorder="1" applyAlignment="1">
      <alignment horizontal="center" vertical="center" readingOrder="2"/>
    </xf>
    <xf numFmtId="3" fontId="5" fillId="0" borderId="29" xfId="1" applyNumberFormat="1" applyFont="1" applyBorder="1" applyAlignment="1">
      <alignment horizontal="center" vertical="center" readingOrder="2"/>
    </xf>
    <xf numFmtId="0" fontId="4" fillId="0" borderId="83" xfId="1" applyFont="1" applyBorder="1" applyAlignment="1">
      <alignment horizontal="center" vertical="center"/>
    </xf>
    <xf numFmtId="3" fontId="5" fillId="0" borderId="39" xfId="1" applyNumberFormat="1" applyFont="1" applyBorder="1" applyAlignment="1">
      <alignment horizontal="center" vertical="center" readingOrder="2"/>
    </xf>
    <xf numFmtId="3" fontId="5" fillId="0" borderId="40" xfId="1" applyNumberFormat="1" applyFont="1" applyBorder="1" applyAlignment="1">
      <alignment horizontal="center" vertical="center" readingOrder="2"/>
    </xf>
    <xf numFmtId="3" fontId="5" fillId="0" borderId="77" xfId="1" applyNumberFormat="1" applyFont="1" applyBorder="1" applyAlignment="1">
      <alignment horizontal="center" vertical="center" readingOrder="2"/>
    </xf>
    <xf numFmtId="3" fontId="5" fillId="0" borderId="32" xfId="1" applyNumberFormat="1" applyFont="1" applyBorder="1" applyAlignment="1">
      <alignment horizontal="center" vertical="center" readingOrder="2"/>
    </xf>
    <xf numFmtId="3" fontId="5" fillId="0" borderId="19" xfId="1" applyNumberFormat="1" applyFont="1" applyBorder="1" applyAlignment="1">
      <alignment horizontal="center" vertical="center" readingOrder="2"/>
    </xf>
    <xf numFmtId="3" fontId="5" fillId="0" borderId="13" xfId="1" applyNumberFormat="1" applyFont="1" applyBorder="1" applyAlignment="1">
      <alignment horizontal="center" vertical="center" readingOrder="2"/>
    </xf>
    <xf numFmtId="3" fontId="5" fillId="0" borderId="22" xfId="1" applyNumberFormat="1" applyFont="1" applyBorder="1" applyAlignment="1">
      <alignment horizontal="center" vertical="center" readingOrder="2"/>
    </xf>
    <xf numFmtId="3" fontId="5" fillId="0" borderId="41" xfId="1" applyNumberFormat="1" applyFont="1" applyBorder="1" applyAlignment="1">
      <alignment horizontal="center" vertical="center" readingOrder="2"/>
    </xf>
    <xf numFmtId="3" fontId="5" fillId="0" borderId="57" xfId="1" applyNumberFormat="1" applyFont="1" applyBorder="1" applyAlignment="1">
      <alignment horizontal="center" vertical="center" readingOrder="2"/>
    </xf>
    <xf numFmtId="3" fontId="5" fillId="0" borderId="38" xfId="1" applyNumberFormat="1" applyFont="1" applyBorder="1" applyAlignment="1">
      <alignment horizontal="center" vertical="center" readingOrder="2"/>
    </xf>
    <xf numFmtId="3" fontId="5" fillId="0" borderId="6" xfId="1" applyNumberFormat="1" applyFont="1" applyBorder="1" applyAlignment="1">
      <alignment horizontal="center" vertical="center" readingOrder="2"/>
    </xf>
    <xf numFmtId="3" fontId="5" fillId="0" borderId="73" xfId="1" applyNumberFormat="1" applyFont="1" applyBorder="1" applyAlignment="1">
      <alignment horizontal="center" vertical="center" readingOrder="2"/>
    </xf>
    <xf numFmtId="3" fontId="5" fillId="0" borderId="75" xfId="1" applyNumberFormat="1" applyFont="1" applyBorder="1" applyAlignment="1">
      <alignment horizontal="center" vertical="center" readingOrder="2"/>
    </xf>
    <xf numFmtId="3" fontId="5" fillId="0" borderId="107" xfId="1" applyNumberFormat="1" applyFont="1" applyBorder="1" applyAlignment="1">
      <alignment horizontal="center" vertical="center" readingOrder="2"/>
    </xf>
    <xf numFmtId="3" fontId="5" fillId="0" borderId="74" xfId="1" applyNumberFormat="1" applyFont="1" applyBorder="1" applyAlignment="1">
      <alignment horizontal="center" vertical="center" readingOrder="2"/>
    </xf>
    <xf numFmtId="0" fontId="5" fillId="0" borderId="19" xfId="1" applyFont="1" applyBorder="1" applyAlignment="1">
      <alignment horizontal="center" vertical="center" readingOrder="2"/>
    </xf>
    <xf numFmtId="0" fontId="4" fillId="0" borderId="0" xfId="1" applyFont="1" applyAlignment="1">
      <alignment horizontal="right" vertical="center" wrapText="1" readingOrder="2"/>
    </xf>
    <xf numFmtId="3" fontId="4" fillId="0" borderId="13" xfId="1" applyNumberFormat="1" applyFont="1" applyBorder="1" applyAlignment="1">
      <alignment horizontal="right" vertical="center" readingOrder="2"/>
    </xf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33" fillId="0" borderId="9" xfId="0" applyFont="1" applyBorder="1" applyAlignment="1">
      <alignment horizontal="right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 wrapText="1"/>
    </xf>
    <xf numFmtId="3" fontId="13" fillId="0" borderId="61" xfId="0" applyNumberFormat="1" applyFont="1" applyBorder="1" applyAlignment="1">
      <alignment horizontal="center" vertical="center"/>
    </xf>
    <xf numFmtId="3" fontId="13" fillId="0" borderId="44" xfId="0" applyNumberFormat="1" applyFont="1" applyBorder="1" applyAlignment="1">
      <alignment horizontal="center" vertical="center"/>
    </xf>
    <xf numFmtId="3" fontId="13" fillId="0" borderId="53" xfId="0" applyNumberFormat="1" applyFont="1" applyBorder="1" applyAlignment="1">
      <alignment horizontal="center" vertical="center"/>
    </xf>
    <xf numFmtId="3" fontId="13" fillId="0" borderId="91" xfId="0" applyNumberFormat="1" applyFont="1" applyBorder="1" applyAlignment="1">
      <alignment horizontal="center" vertical="center"/>
    </xf>
    <xf numFmtId="3" fontId="13" fillId="0" borderId="101" xfId="0" applyNumberFormat="1" applyFont="1" applyBorder="1" applyAlignment="1">
      <alignment horizontal="center" vertical="center"/>
    </xf>
    <xf numFmtId="3" fontId="13" fillId="0" borderId="80" xfId="0" applyNumberFormat="1" applyFont="1" applyBorder="1" applyAlignment="1">
      <alignment horizontal="center" vertical="center"/>
    </xf>
    <xf numFmtId="3" fontId="13" fillId="0" borderId="76" xfId="0" applyNumberFormat="1" applyFont="1" applyBorder="1" applyAlignment="1">
      <alignment horizontal="center" vertical="center"/>
    </xf>
    <xf numFmtId="3" fontId="13" fillId="0" borderId="68" xfId="0" applyNumberFormat="1" applyFont="1" applyBorder="1" applyAlignment="1">
      <alignment horizontal="center" vertical="center"/>
    </xf>
    <xf numFmtId="3" fontId="13" fillId="0" borderId="72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0" fontId="47" fillId="0" borderId="102" xfId="0" applyFont="1" applyBorder="1" applyAlignment="1">
      <alignment vertical="center" wrapText="1"/>
    </xf>
    <xf numFmtId="0" fontId="47" fillId="0" borderId="104" xfId="0" applyFont="1" applyBorder="1" applyAlignment="1">
      <alignment vertical="center" wrapText="1"/>
    </xf>
    <xf numFmtId="3" fontId="33" fillId="0" borderId="4" xfId="0" applyNumberFormat="1" applyFont="1" applyBorder="1" applyAlignment="1">
      <alignment horizontal="center" vertical="center"/>
    </xf>
    <xf numFmtId="3" fontId="33" fillId="0" borderId="74" xfId="0" applyNumberFormat="1" applyFont="1" applyBorder="1" applyAlignment="1">
      <alignment horizontal="center" vertical="center"/>
    </xf>
    <xf numFmtId="3" fontId="13" fillId="0" borderId="73" xfId="0" applyNumberFormat="1" applyFont="1" applyBorder="1" applyAlignment="1">
      <alignment horizontal="center" vertical="center"/>
    </xf>
    <xf numFmtId="3" fontId="13" fillId="0" borderId="74" xfId="0" applyNumberFormat="1" applyFont="1" applyBorder="1" applyAlignment="1">
      <alignment horizontal="center" vertical="center"/>
    </xf>
    <xf numFmtId="0" fontId="47" fillId="0" borderId="103" xfId="0" applyFont="1" applyBorder="1" applyAlignment="1">
      <alignment vertical="center" wrapText="1"/>
    </xf>
    <xf numFmtId="0" fontId="47" fillId="0" borderId="105" xfId="0" applyFont="1" applyBorder="1" applyAlignment="1">
      <alignment vertical="center" wrapText="1"/>
    </xf>
    <xf numFmtId="3" fontId="13" fillId="0" borderId="48" xfId="0" applyNumberFormat="1" applyFont="1" applyBorder="1" applyAlignment="1">
      <alignment horizontal="center" vertical="center"/>
    </xf>
    <xf numFmtId="3" fontId="13" fillId="0" borderId="32" xfId="0" applyNumberFormat="1" applyFont="1" applyBorder="1" applyAlignment="1">
      <alignment horizontal="center" vertical="center"/>
    </xf>
    <xf numFmtId="3" fontId="13" fillId="0" borderId="22" xfId="0" applyNumberFormat="1" applyFont="1" applyBorder="1" applyAlignment="1">
      <alignment horizontal="center" vertical="center"/>
    </xf>
    <xf numFmtId="3" fontId="13" fillId="0" borderId="49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3" fontId="33" fillId="0" borderId="7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right" vertical="center" wrapText="1" indent="1"/>
    </xf>
    <xf numFmtId="0" fontId="33" fillId="0" borderId="106" xfId="0" applyFont="1" applyBorder="1" applyAlignment="1">
      <alignment horizontal="center" vertical="center"/>
    </xf>
    <xf numFmtId="0" fontId="33" fillId="0" borderId="21" xfId="0" applyFont="1" applyBorder="1"/>
    <xf numFmtId="0" fontId="33" fillId="0" borderId="10" xfId="0" applyFont="1" applyBorder="1"/>
    <xf numFmtId="0" fontId="33" fillId="0" borderId="43" xfId="0" applyFont="1" applyBorder="1" applyAlignment="1">
      <alignment horizontal="right"/>
    </xf>
    <xf numFmtId="0" fontId="33" fillId="0" borderId="13" xfId="0" applyFont="1" applyBorder="1"/>
    <xf numFmtId="0" fontId="41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readingOrder="2"/>
    </xf>
    <xf numFmtId="0" fontId="12" fillId="0" borderId="9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42" fillId="0" borderId="0" xfId="0" applyFont="1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14" fillId="0" borderId="0" xfId="0" applyFont="1" applyAlignment="1">
      <alignment vertical="center" readingOrder="2"/>
    </xf>
    <xf numFmtId="0" fontId="4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right" vertical="center" readingOrder="2"/>
    </xf>
    <xf numFmtId="0" fontId="3" fillId="0" borderId="0" xfId="0" applyFont="1" applyAlignment="1">
      <alignment vertical="center" readingOrder="2"/>
    </xf>
    <xf numFmtId="0" fontId="14" fillId="0" borderId="9" xfId="0" applyFont="1" applyBorder="1" applyAlignment="1">
      <alignment vertical="center"/>
    </xf>
    <xf numFmtId="0" fontId="5" fillId="0" borderId="9" xfId="0" applyFont="1" applyBorder="1" applyAlignment="1">
      <alignment horizontal="right" vertical="center" wrapText="1" indent="1" readingOrder="2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right" vertical="center" indent="1" readingOrder="2"/>
    </xf>
    <xf numFmtId="0" fontId="11" fillId="0" borderId="15" xfId="0" applyFont="1" applyBorder="1" applyAlignment="1">
      <alignment vertical="center" readingOrder="2"/>
    </xf>
    <xf numFmtId="0" fontId="11" fillId="0" borderId="10" xfId="0" applyFont="1" applyBorder="1" applyAlignment="1">
      <alignment vertical="center" readingOrder="2"/>
    </xf>
    <xf numFmtId="0" fontId="11" fillId="0" borderId="24" xfId="0" applyFont="1" applyBorder="1" applyAlignment="1">
      <alignment vertical="center" readingOrder="2"/>
    </xf>
    <xf numFmtId="0" fontId="5" fillId="0" borderId="30" xfId="0" applyFont="1" applyBorder="1" applyAlignment="1">
      <alignment horizontal="center" vertical="center" wrapText="1" readingOrder="2"/>
    </xf>
    <xf numFmtId="0" fontId="5" fillId="0" borderId="73" xfId="0" applyFont="1" applyBorder="1" applyAlignment="1">
      <alignment horizontal="center" vertical="center" readingOrder="2"/>
    </xf>
    <xf numFmtId="0" fontId="5" fillId="0" borderId="74" xfId="0" applyFont="1" applyBorder="1" applyAlignment="1">
      <alignment horizontal="center" vertical="center" wrapText="1" readingOrder="2"/>
    </xf>
    <xf numFmtId="0" fontId="5" fillId="0" borderId="75" xfId="0" applyFont="1" applyBorder="1" applyAlignment="1">
      <alignment horizontal="center" vertical="center" wrapText="1" readingOrder="2"/>
    </xf>
    <xf numFmtId="0" fontId="5" fillId="0" borderId="82" xfId="0" applyFont="1" applyBorder="1" applyAlignment="1">
      <alignment horizontal="center" vertical="center" readingOrder="2"/>
    </xf>
    <xf numFmtId="0" fontId="5" fillId="0" borderId="31" xfId="0" applyFont="1" applyBorder="1" applyAlignment="1">
      <alignment horizontal="center" vertical="center" wrapText="1" readingOrder="2"/>
    </xf>
    <xf numFmtId="0" fontId="5" fillId="0" borderId="59" xfId="0" applyFont="1" applyBorder="1" applyAlignment="1">
      <alignment horizontal="center" vertical="center" wrapText="1" readingOrder="2"/>
    </xf>
    <xf numFmtId="3" fontId="14" fillId="0" borderId="18" xfId="0" applyNumberFormat="1" applyFont="1" applyBorder="1" applyAlignment="1">
      <alignment horizontal="center" vertical="center" readingOrder="2"/>
    </xf>
    <xf numFmtId="3" fontId="14" fillId="0" borderId="22" xfId="0" applyNumberFormat="1" applyFont="1" applyBorder="1" applyAlignment="1">
      <alignment horizontal="center" vertical="center" readingOrder="2"/>
    </xf>
    <xf numFmtId="3" fontId="14" fillId="0" borderId="69" xfId="0" applyNumberFormat="1" applyFont="1" applyBorder="1" applyAlignment="1">
      <alignment horizontal="center" vertical="center" readingOrder="2"/>
    </xf>
    <xf numFmtId="3" fontId="14" fillId="0" borderId="26" xfId="0" applyNumberFormat="1" applyFont="1" applyBorder="1" applyAlignment="1">
      <alignment horizontal="center" vertical="center" readingOrder="2"/>
    </xf>
    <xf numFmtId="3" fontId="14" fillId="0" borderId="34" xfId="0" applyNumberFormat="1" applyFont="1" applyBorder="1" applyAlignment="1">
      <alignment horizontal="center" vertical="center" readingOrder="2"/>
    </xf>
    <xf numFmtId="3" fontId="14" fillId="0" borderId="27" xfId="0" applyNumberFormat="1" applyFont="1" applyBorder="1" applyAlignment="1">
      <alignment horizontal="center" vertical="center" readingOrder="2"/>
    </xf>
    <xf numFmtId="3" fontId="14" fillId="0" borderId="2" xfId="0" applyNumberFormat="1" applyFont="1" applyBorder="1" applyAlignment="1">
      <alignment horizontal="center" vertical="center" readingOrder="2"/>
    </xf>
    <xf numFmtId="3" fontId="14" fillId="0" borderId="3" xfId="0" applyNumberFormat="1" applyFont="1" applyBorder="1" applyAlignment="1">
      <alignment horizontal="center" vertical="center" readingOrder="2"/>
    </xf>
    <xf numFmtId="3" fontId="14" fillId="0" borderId="1" xfId="0" applyNumberFormat="1" applyFont="1" applyBorder="1" applyAlignment="1">
      <alignment horizontal="center" vertical="center" readingOrder="2"/>
    </xf>
    <xf numFmtId="3" fontId="14" fillId="0" borderId="4" xfId="0" applyNumberFormat="1" applyFont="1" applyBorder="1" applyAlignment="1">
      <alignment horizontal="center" vertical="center" readingOrder="2"/>
    </xf>
    <xf numFmtId="0" fontId="3" fillId="0" borderId="55" xfId="0" applyFont="1" applyBorder="1" applyAlignment="1">
      <alignment horizontal="center" vertical="center" readingOrder="2"/>
    </xf>
    <xf numFmtId="3" fontId="14" fillId="0" borderId="38" xfId="0" applyNumberFormat="1" applyFont="1" applyBorder="1" applyAlignment="1">
      <alignment horizontal="center" vertical="center" readingOrder="2"/>
    </xf>
    <xf numFmtId="3" fontId="14" fillId="0" borderId="40" xfId="0" applyNumberFormat="1" applyFont="1" applyBorder="1" applyAlignment="1">
      <alignment horizontal="center" vertical="center" readingOrder="2"/>
    </xf>
    <xf numFmtId="3" fontId="14" fillId="0" borderId="39" xfId="0" applyNumberFormat="1" applyFont="1" applyBorder="1" applyAlignment="1">
      <alignment horizontal="center" vertical="center" readingOrder="2"/>
    </xf>
    <xf numFmtId="0" fontId="3" fillId="0" borderId="92" xfId="0" applyFont="1" applyBorder="1" applyAlignment="1">
      <alignment horizontal="center" vertical="center" readingOrder="2"/>
    </xf>
    <xf numFmtId="3" fontId="14" fillId="0" borderId="5" xfId="0" applyNumberFormat="1" applyFont="1" applyBorder="1" applyAlignment="1">
      <alignment horizontal="center" vertical="center" readingOrder="2"/>
    </xf>
    <xf numFmtId="3" fontId="14" fillId="0" borderId="6" xfId="0" applyNumberFormat="1" applyFont="1" applyBorder="1" applyAlignment="1">
      <alignment horizontal="center" vertical="center" readingOrder="2"/>
    </xf>
    <xf numFmtId="3" fontId="14" fillId="0" borderId="25" xfId="0" applyNumberFormat="1" applyFont="1" applyBorder="1" applyAlignment="1">
      <alignment horizontal="center" vertical="center" readingOrder="2"/>
    </xf>
    <xf numFmtId="3" fontId="14" fillId="0" borderId="7" xfId="0" applyNumberFormat="1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3" fontId="14" fillId="0" borderId="32" xfId="0" applyNumberFormat="1" applyFont="1" applyBorder="1" applyAlignment="1">
      <alignment horizontal="center" vertical="center" readingOrder="2"/>
    </xf>
    <xf numFmtId="3" fontId="14" fillId="0" borderId="19" xfId="0" applyNumberFormat="1" applyFont="1" applyBorder="1" applyAlignment="1">
      <alignment horizontal="center" vertical="center" readingOrder="2"/>
    </xf>
    <xf numFmtId="3" fontId="14" fillId="0" borderId="57" xfId="0" applyNumberFormat="1" applyFont="1" applyBorder="1" applyAlignment="1">
      <alignment horizontal="center" vertical="center" readingOrder="2"/>
    </xf>
    <xf numFmtId="0" fontId="14" fillId="0" borderId="15" xfId="0" applyFont="1" applyBorder="1" applyAlignment="1">
      <alignment horizontal="center" vertical="center" readingOrder="2"/>
    </xf>
    <xf numFmtId="0" fontId="14" fillId="0" borderId="10" xfId="0" applyFont="1" applyBorder="1" applyAlignment="1">
      <alignment horizontal="center" vertical="center" readingOrder="2"/>
    </xf>
    <xf numFmtId="0" fontId="14" fillId="0" borderId="10" xfId="0" applyFont="1" applyBorder="1" applyAlignment="1">
      <alignment vertical="center" readingOrder="2"/>
    </xf>
    <xf numFmtId="0" fontId="3" fillId="0" borderId="13" xfId="0" applyFont="1" applyBorder="1" applyAlignment="1">
      <alignment vertical="center" readingOrder="2"/>
    </xf>
    <xf numFmtId="0" fontId="3" fillId="0" borderId="13" xfId="0" applyFont="1" applyBorder="1" applyAlignment="1">
      <alignment horizontal="right" vertical="center" readingOrder="2"/>
    </xf>
    <xf numFmtId="0" fontId="4" fillId="0" borderId="0" xfId="0" applyFont="1" applyAlignment="1">
      <alignment horizontal="right" vertical="center" indent="1" readingOrder="2"/>
    </xf>
    <xf numFmtId="0" fontId="4" fillId="0" borderId="43" xfId="0" applyFont="1" applyBorder="1" applyAlignment="1">
      <alignment horizontal="right" vertical="center" indent="1" readingOrder="2"/>
    </xf>
    <xf numFmtId="0" fontId="5" fillId="0" borderId="13" xfId="0" applyFont="1" applyBorder="1" applyAlignment="1">
      <alignment horizontal="right" vertical="center" readingOrder="2"/>
    </xf>
    <xf numFmtId="0" fontId="4" fillId="0" borderId="13" xfId="0" applyFont="1" applyBorder="1" applyAlignment="1">
      <alignment horizontal="right" vertical="center" readingOrder="2"/>
    </xf>
    <xf numFmtId="0" fontId="3" fillId="0" borderId="0" xfId="1" applyFont="1"/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13" fillId="0" borderId="23" xfId="1" applyFont="1" applyBorder="1" applyAlignment="1">
      <alignment horizontal="right" vertical="center"/>
    </xf>
    <xf numFmtId="0" fontId="13" fillId="0" borderId="9" xfId="1" applyFont="1" applyBorder="1" applyAlignment="1">
      <alignment horizontal="right" vertical="center"/>
    </xf>
    <xf numFmtId="0" fontId="13" fillId="0" borderId="21" xfId="1" applyFont="1" applyBorder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13" fillId="0" borderId="32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 indent="1"/>
    </xf>
    <xf numFmtId="0" fontId="13" fillId="0" borderId="41" xfId="1" applyFont="1" applyBorder="1" applyAlignment="1">
      <alignment horizontal="right" vertical="center" indent="1"/>
    </xf>
    <xf numFmtId="0" fontId="13" fillId="0" borderId="32" xfId="1" applyFont="1" applyBorder="1" applyAlignment="1">
      <alignment horizontal="center" vertical="center" wrapText="1"/>
    </xf>
    <xf numFmtId="0" fontId="13" fillId="0" borderId="41" xfId="1" applyFont="1" applyBorder="1" applyAlignment="1">
      <alignment horizontal="center" vertical="center" wrapText="1"/>
    </xf>
    <xf numFmtId="0" fontId="13" fillId="0" borderId="48" xfId="1" applyFont="1" applyBorder="1" applyAlignment="1">
      <alignment horizontal="right" vertical="center"/>
    </xf>
    <xf numFmtId="0" fontId="13" fillId="0" borderId="30" xfId="1" applyFont="1" applyBorder="1" applyAlignment="1">
      <alignment horizontal="center" vertical="center" wrapText="1"/>
    </xf>
    <xf numFmtId="0" fontId="13" fillId="0" borderId="59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3" fontId="9" fillId="0" borderId="36" xfId="1" applyNumberFormat="1" applyFont="1" applyBorder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3" fontId="4" fillId="0" borderId="17" xfId="1" applyNumberFormat="1" applyFont="1" applyBorder="1" applyAlignment="1">
      <alignment horizontal="center" vertical="center"/>
    </xf>
    <xf numFmtId="3" fontId="4" fillId="0" borderId="3" xfId="1" applyNumberFormat="1" applyFont="1" applyBorder="1" applyAlignment="1">
      <alignment horizontal="center" vertical="center"/>
    </xf>
    <xf numFmtId="3" fontId="4" fillId="0" borderId="5" xfId="1" applyNumberFormat="1" applyFont="1" applyBorder="1" applyAlignment="1">
      <alignment horizontal="center" vertical="center"/>
    </xf>
    <xf numFmtId="3" fontId="4" fillId="0" borderId="6" xfId="1" applyNumberFormat="1" applyFont="1" applyBorder="1" applyAlignment="1">
      <alignment horizontal="center" vertical="center"/>
    </xf>
    <xf numFmtId="0" fontId="13" fillId="0" borderId="86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13" fillId="0" borderId="10" xfId="1" applyFont="1" applyBorder="1" applyAlignment="1">
      <alignment horizontal="right" vertical="center" indent="1"/>
    </xf>
    <xf numFmtId="0" fontId="13" fillId="0" borderId="10" xfId="1" applyFont="1" applyBorder="1" applyAlignment="1">
      <alignment horizontal="center" vertical="center" wrapText="1"/>
    </xf>
    <xf numFmtId="0" fontId="4" fillId="0" borderId="53" xfId="1" applyFont="1" applyBorder="1" applyAlignment="1">
      <alignment horizontal="center" vertical="center"/>
    </xf>
    <xf numFmtId="0" fontId="4" fillId="0" borderId="0" xfId="1" applyFont="1"/>
    <xf numFmtId="0" fontId="8" fillId="0" borderId="0" xfId="0" applyFont="1"/>
    <xf numFmtId="0" fontId="7" fillId="0" borderId="0" xfId="0" applyFont="1"/>
    <xf numFmtId="0" fontId="4" fillId="0" borderId="2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3" fontId="5" fillId="0" borderId="22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46" fillId="0" borderId="55" xfId="0" applyNumberFormat="1" applyFont="1" applyBorder="1" applyAlignment="1">
      <alignment horizontal="center" vertical="center"/>
    </xf>
    <xf numFmtId="3" fontId="46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3" fontId="3" fillId="0" borderId="55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8" fillId="0" borderId="21" xfId="0" applyFont="1" applyBorder="1"/>
    <xf numFmtId="0" fontId="8" fillId="0" borderId="15" xfId="0" applyFont="1" applyBorder="1"/>
    <xf numFmtId="0" fontId="6" fillId="0" borderId="0" xfId="1" applyAlignment="1">
      <alignment horizontal="right"/>
    </xf>
    <xf numFmtId="3" fontId="4" fillId="0" borderId="0" xfId="1" applyNumberFormat="1" applyFont="1" applyAlignment="1">
      <alignment horizontal="right" vertical="center" readingOrder="2"/>
    </xf>
    <xf numFmtId="3" fontId="3" fillId="0" borderId="0" xfId="1" applyNumberFormat="1" applyFont="1" applyAlignment="1">
      <alignment horizontal="right" vertical="center" readingOrder="2"/>
    </xf>
    <xf numFmtId="0" fontId="3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4" fontId="2" fillId="0" borderId="0" xfId="1" applyNumberFormat="1" applyFont="1" applyAlignment="1">
      <alignment horizontal="right" vertical="center"/>
    </xf>
    <xf numFmtId="0" fontId="6" fillId="0" borderId="9" xfId="1" applyBorder="1" applyAlignment="1">
      <alignment horizontal="right"/>
    </xf>
    <xf numFmtId="4" fontId="12" fillId="0" borderId="9" xfId="1" applyNumberFormat="1" applyFont="1" applyBorder="1" applyAlignment="1">
      <alignment horizontal="right" vertical="center"/>
    </xf>
    <xf numFmtId="0" fontId="5" fillId="0" borderId="0" xfId="1" applyFont="1" applyAlignment="1">
      <alignment horizontal="right" vertical="center" wrapText="1" readingOrder="2"/>
    </xf>
    <xf numFmtId="0" fontId="6" fillId="0" borderId="10" xfId="1" applyBorder="1" applyAlignment="1">
      <alignment horizontal="right"/>
    </xf>
    <xf numFmtId="4" fontId="12" fillId="0" borderId="10" xfId="1" applyNumberFormat="1" applyFont="1" applyBorder="1" applyAlignment="1">
      <alignment horizontal="right" vertical="center"/>
    </xf>
    <xf numFmtId="0" fontId="11" fillId="0" borderId="0" xfId="1" applyFont="1" applyAlignment="1">
      <alignment horizontal="right" vertical="center" readingOrder="2"/>
    </xf>
    <xf numFmtId="4" fontId="2" fillId="0" borderId="0" xfId="1" applyNumberFormat="1" applyFont="1" applyAlignment="1">
      <alignment horizontal="right"/>
    </xf>
    <xf numFmtId="0" fontId="12" fillId="0" borderId="0" xfId="1" applyFont="1" applyAlignment="1">
      <alignment horizontal="right" vertical="center"/>
    </xf>
    <xf numFmtId="4" fontId="12" fillId="0" borderId="0" xfId="1" applyNumberFormat="1" applyFont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" fontId="14" fillId="0" borderId="34" xfId="0" applyNumberFormat="1" applyFont="1" applyBorder="1" applyAlignment="1">
      <alignment horizontal="center" vertical="center" readingOrder="2"/>
    </xf>
    <xf numFmtId="4" fontId="14" fillId="0" borderId="17" xfId="0" applyNumberFormat="1" applyFont="1" applyBorder="1" applyAlignment="1">
      <alignment horizontal="center" vertical="center" readingOrder="2"/>
    </xf>
    <xf numFmtId="4" fontId="14" fillId="0" borderId="3" xfId="0" applyNumberFormat="1" applyFont="1" applyBorder="1" applyAlignment="1">
      <alignment horizontal="center" vertical="center" readingOrder="2"/>
    </xf>
    <xf numFmtId="4" fontId="14" fillId="0" borderId="40" xfId="0" applyNumberFormat="1" applyFont="1" applyBorder="1" applyAlignment="1">
      <alignment horizontal="center" vertical="center" readingOrder="2"/>
    </xf>
    <xf numFmtId="0" fontId="4" fillId="0" borderId="94" xfId="1" applyFont="1" applyBorder="1" applyAlignment="1">
      <alignment horizontal="center" vertical="center"/>
    </xf>
    <xf numFmtId="0" fontId="4" fillId="0" borderId="93" xfId="1" applyFont="1" applyBorder="1" applyAlignment="1">
      <alignment horizontal="center" vertical="center"/>
    </xf>
    <xf numFmtId="3" fontId="5" fillId="0" borderId="68" xfId="1" applyNumberFormat="1" applyFont="1" applyBorder="1" applyAlignment="1">
      <alignment horizontal="center" vertical="center" readingOrder="2"/>
    </xf>
    <xf numFmtId="3" fontId="5" fillId="0" borderId="99" xfId="1" applyNumberFormat="1" applyFont="1" applyBorder="1" applyAlignment="1">
      <alignment horizontal="center" vertical="center" readingOrder="2"/>
    </xf>
    <xf numFmtId="4" fontId="14" fillId="0" borderId="60" xfId="0" applyNumberFormat="1" applyFont="1" applyBorder="1" applyAlignment="1">
      <alignment horizontal="center" vertical="center" readingOrder="2"/>
    </xf>
    <xf numFmtId="4" fontId="14" fillId="0" borderId="46" xfId="0" applyNumberFormat="1" applyFont="1" applyBorder="1" applyAlignment="1">
      <alignment horizontal="center" vertical="center" readingOrder="2"/>
    </xf>
    <xf numFmtId="4" fontId="14" fillId="0" borderId="47" xfId="0" applyNumberFormat="1" applyFont="1" applyBorder="1" applyAlignment="1">
      <alignment horizontal="center" vertical="center" readingOrder="2"/>
    </xf>
    <xf numFmtId="4" fontId="14" fillId="0" borderId="108" xfId="0" applyNumberFormat="1" applyFont="1" applyBorder="1" applyAlignment="1">
      <alignment horizontal="center" vertical="center" readingOrder="2"/>
    </xf>
    <xf numFmtId="0" fontId="4" fillId="0" borderId="51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76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43" xfId="1" applyFont="1" applyBorder="1" applyAlignment="1">
      <alignment horizontal="right" vertical="center" indent="1"/>
    </xf>
    <xf numFmtId="0" fontId="4" fillId="0" borderId="43" xfId="1" applyFont="1" applyBorder="1" applyAlignment="1">
      <alignment horizontal="right" vertical="center"/>
    </xf>
    <xf numFmtId="3" fontId="4" fillId="0" borderId="57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4" fontId="5" fillId="0" borderId="23" xfId="1" applyNumberFormat="1" applyFont="1" applyBorder="1" applyAlignment="1">
      <alignment horizontal="center" vertical="center" readingOrder="2"/>
    </xf>
    <xf numFmtId="4" fontId="5" fillId="0" borderId="51" xfId="0" applyNumberFormat="1" applyFont="1" applyBorder="1" applyAlignment="1">
      <alignment horizontal="center" vertical="center" readingOrder="2"/>
    </xf>
    <xf numFmtId="4" fontId="5" fillId="0" borderId="52" xfId="1" applyNumberFormat="1" applyFont="1" applyBorder="1" applyAlignment="1">
      <alignment horizontal="center" vertical="center" readingOrder="2"/>
    </xf>
    <xf numFmtId="4" fontId="5" fillId="0" borderId="32" xfId="0" applyNumberFormat="1" applyFont="1" applyBorder="1" applyAlignment="1">
      <alignment horizontal="center" vertical="center" readingOrder="2"/>
    </xf>
    <xf numFmtId="4" fontId="5" fillId="0" borderId="48" xfId="1" applyNumberFormat="1" applyFont="1" applyBorder="1" applyAlignment="1">
      <alignment horizontal="center" vertical="center" readingOrder="2"/>
    </xf>
    <xf numFmtId="4" fontId="14" fillId="0" borderId="32" xfId="0" applyNumberFormat="1" applyFont="1" applyBorder="1" applyAlignment="1">
      <alignment horizontal="center" vertical="center" readingOrder="2"/>
    </xf>
    <xf numFmtId="4" fontId="14" fillId="0" borderId="23" xfId="0" applyNumberFormat="1" applyFont="1" applyBorder="1" applyAlignment="1">
      <alignment horizontal="center" vertical="center" readingOrder="2"/>
    </xf>
    <xf numFmtId="4" fontId="14" fillId="0" borderId="16" xfId="0" applyNumberFormat="1" applyFont="1" applyBorder="1" applyAlignment="1">
      <alignment horizontal="center" vertical="center" readingOrder="2"/>
    </xf>
    <xf numFmtId="4" fontId="14" fillId="0" borderId="14" xfId="0" applyNumberFormat="1" applyFont="1" applyBorder="1" applyAlignment="1">
      <alignment horizontal="center" vertical="center" readingOrder="2"/>
    </xf>
    <xf numFmtId="4" fontId="14" fillId="0" borderId="20" xfId="0" applyNumberFormat="1" applyFont="1" applyBorder="1" applyAlignment="1">
      <alignment horizontal="center" vertical="center" readingOrder="2"/>
    </xf>
    <xf numFmtId="4" fontId="14" fillId="0" borderId="51" xfId="0" applyNumberFormat="1" applyFont="1" applyBorder="1" applyAlignment="1">
      <alignment horizontal="center" vertical="center" readingOrder="2"/>
    </xf>
    <xf numFmtId="4" fontId="14" fillId="0" borderId="49" xfId="0" applyNumberFormat="1" applyFont="1" applyBorder="1" applyAlignment="1">
      <alignment horizontal="center" vertical="center" readingOrder="2"/>
    </xf>
    <xf numFmtId="4" fontId="3" fillId="0" borderId="48" xfId="0" applyNumberFormat="1" applyFont="1" applyBorder="1" applyAlignment="1">
      <alignment horizontal="center" vertical="center" readingOrder="2"/>
    </xf>
    <xf numFmtId="4" fontId="3" fillId="0" borderId="52" xfId="0" applyNumberFormat="1" applyFont="1" applyBorder="1" applyAlignment="1">
      <alignment horizontal="center" vertical="center" readingOrder="2"/>
    </xf>
    <xf numFmtId="0" fontId="33" fillId="0" borderId="10" xfId="0" applyFont="1" applyBorder="1" applyAlignment="1">
      <alignment horizontal="right" vertical="center"/>
    </xf>
    <xf numFmtId="0" fontId="33" fillId="0" borderId="0" xfId="0" applyFont="1"/>
    <xf numFmtId="0" fontId="33" fillId="0" borderId="0" xfId="0" applyFont="1" applyAlignment="1">
      <alignment horizontal="right"/>
    </xf>
    <xf numFmtId="0" fontId="13" fillId="0" borderId="94" xfId="1" applyFont="1" applyBorder="1" applyAlignment="1">
      <alignment vertical="center"/>
    </xf>
    <xf numFmtId="0" fontId="4" fillId="0" borderId="111" xfId="1" applyFont="1" applyBorder="1" applyAlignment="1">
      <alignment horizontal="center" vertical="center"/>
    </xf>
    <xf numFmtId="0" fontId="4" fillId="0" borderId="90" xfId="1" applyFont="1" applyBorder="1" applyAlignment="1">
      <alignment horizontal="center" vertical="center"/>
    </xf>
    <xf numFmtId="0" fontId="4" fillId="0" borderId="1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3" fontId="9" fillId="0" borderId="91" xfId="1" applyNumberFormat="1" applyFont="1" applyBorder="1" applyAlignment="1">
      <alignment horizontal="center" vertical="center"/>
    </xf>
    <xf numFmtId="3" fontId="4" fillId="0" borderId="16" xfId="1" applyNumberFormat="1" applyFont="1" applyBorder="1" applyAlignment="1">
      <alignment horizontal="center" vertical="center"/>
    </xf>
    <xf numFmtId="3" fontId="4" fillId="0" borderId="14" xfId="1" applyNumberFormat="1" applyFont="1" applyBorder="1" applyAlignment="1">
      <alignment horizontal="center" vertical="center"/>
    </xf>
    <xf numFmtId="3" fontId="4" fillId="0" borderId="51" xfId="1" applyNumberFormat="1" applyFont="1" applyBorder="1" applyAlignment="1">
      <alignment horizontal="center" vertical="center"/>
    </xf>
    <xf numFmtId="0" fontId="4" fillId="0" borderId="65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3" fontId="4" fillId="0" borderId="4" xfId="1" applyNumberFormat="1" applyFont="1" applyBorder="1" applyAlignment="1">
      <alignment horizontal="center" vertical="center"/>
    </xf>
    <xf numFmtId="3" fontId="4" fillId="0" borderId="7" xfId="1" applyNumberFormat="1" applyFont="1" applyBorder="1" applyAlignment="1">
      <alignment horizontal="center" vertical="center"/>
    </xf>
    <xf numFmtId="0" fontId="13" fillId="0" borderId="42" xfId="1" applyFont="1" applyBorder="1" applyAlignment="1">
      <alignment horizontal="right" vertical="center"/>
    </xf>
    <xf numFmtId="0" fontId="13" fillId="0" borderId="113" xfId="1" applyFont="1" applyBorder="1" applyAlignment="1">
      <alignment horizontal="center" vertical="center"/>
    </xf>
    <xf numFmtId="0" fontId="13" fillId="0" borderId="83" xfId="1" applyFont="1" applyBorder="1" applyAlignment="1">
      <alignment vertical="center"/>
    </xf>
    <xf numFmtId="0" fontId="13" fillId="0" borderId="67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3" fontId="9" fillId="0" borderId="44" xfId="1" applyNumberFormat="1" applyFont="1" applyBorder="1" applyAlignment="1">
      <alignment horizontal="center" vertical="center"/>
    </xf>
    <xf numFmtId="0" fontId="4" fillId="0" borderId="112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51" xfId="1" applyFont="1" applyBorder="1" applyAlignment="1">
      <alignment horizontal="center"/>
    </xf>
    <xf numFmtId="3" fontId="4" fillId="0" borderId="29" xfId="1" applyNumberFormat="1" applyFont="1" applyBorder="1" applyAlignment="1">
      <alignment horizontal="center" vertical="center"/>
    </xf>
    <xf numFmtId="3" fontId="4" fillId="0" borderId="15" xfId="1" applyNumberFormat="1" applyFont="1" applyBorder="1" applyAlignment="1">
      <alignment horizontal="center" vertical="center"/>
    </xf>
    <xf numFmtId="1" fontId="4" fillId="0" borderId="90" xfId="1" applyNumberFormat="1" applyFont="1" applyBorder="1" applyAlignment="1">
      <alignment horizontal="center" vertical="center"/>
    </xf>
    <xf numFmtId="1" fontId="4" fillId="0" borderId="17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0" borderId="40" xfId="1" applyNumberFormat="1" applyFont="1" applyBorder="1" applyAlignment="1">
      <alignment horizontal="center" vertical="center"/>
    </xf>
    <xf numFmtId="0" fontId="4" fillId="0" borderId="91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70" xfId="1" applyFont="1" applyBorder="1" applyAlignment="1">
      <alignment horizontal="center" vertical="center"/>
    </xf>
    <xf numFmtId="0" fontId="4" fillId="0" borderId="110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 readingOrder="2"/>
    </xf>
    <xf numFmtId="0" fontId="5" fillId="0" borderId="30" xfId="0" applyFont="1" applyBorder="1" applyAlignment="1">
      <alignment horizontal="center" vertical="center" readingOrder="2"/>
    </xf>
    <xf numFmtId="3" fontId="5" fillId="0" borderId="15" xfId="1" applyNumberFormat="1" applyFont="1" applyBorder="1" applyAlignment="1">
      <alignment horizontal="center" vertical="center" readingOrder="2"/>
    </xf>
    <xf numFmtId="3" fontId="13" fillId="0" borderId="36" xfId="0" applyNumberFormat="1" applyFont="1" applyBorder="1" applyAlignment="1">
      <alignment horizontal="center" vertical="center"/>
    </xf>
    <xf numFmtId="3" fontId="13" fillId="0" borderId="35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10" fillId="0" borderId="10" xfId="0" applyFont="1" applyBorder="1" applyAlignment="1">
      <alignment vertical="center" readingOrder="2"/>
    </xf>
    <xf numFmtId="0" fontId="10" fillId="0" borderId="10" xfId="0" applyFont="1" applyBorder="1" applyAlignment="1">
      <alignment horizontal="center" vertical="center" readingOrder="2"/>
    </xf>
    <xf numFmtId="0" fontId="4" fillId="0" borderId="78" xfId="0" applyFont="1" applyBorder="1" applyAlignment="1">
      <alignment horizontal="center" vertical="center" wrapText="1"/>
    </xf>
    <xf numFmtId="3" fontId="4" fillId="0" borderId="44" xfId="0" applyNumberFormat="1" applyFont="1" applyBorder="1" applyAlignment="1">
      <alignment horizontal="center" vertical="center" wrapText="1"/>
    </xf>
    <xf numFmtId="3" fontId="4" fillId="0" borderId="61" xfId="0" applyNumberFormat="1" applyFont="1" applyBorder="1" applyAlignment="1">
      <alignment horizontal="center" vertical="center" wrapText="1"/>
    </xf>
    <xf numFmtId="3" fontId="4" fillId="0" borderId="66" xfId="0" applyNumberFormat="1" applyFont="1" applyBorder="1" applyAlignment="1">
      <alignment horizontal="center" vertical="center" wrapText="1"/>
    </xf>
    <xf numFmtId="3" fontId="4" fillId="0" borderId="53" xfId="0" applyNumberFormat="1" applyFont="1" applyBorder="1" applyAlignment="1">
      <alignment horizontal="center" vertical="center" wrapText="1"/>
    </xf>
    <xf numFmtId="3" fontId="4" fillId="0" borderId="36" xfId="0" applyNumberFormat="1" applyFont="1" applyBorder="1" applyAlignment="1">
      <alignment horizontal="center" vertical="center" wrapText="1"/>
    </xf>
    <xf numFmtId="3" fontId="4" fillId="0" borderId="110" xfId="0" applyNumberFormat="1" applyFont="1" applyBorder="1" applyAlignment="1">
      <alignment horizontal="center" vertical="center" wrapText="1"/>
    </xf>
    <xf numFmtId="3" fontId="4" fillId="0" borderId="67" xfId="0" applyNumberFormat="1" applyFont="1" applyBorder="1" applyAlignment="1">
      <alignment horizontal="center" vertical="center" wrapText="1"/>
    </xf>
    <xf numFmtId="3" fontId="4" fillId="0" borderId="109" xfId="0" applyNumberFormat="1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/>
    </xf>
    <xf numFmtId="3" fontId="4" fillId="0" borderId="47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55" xfId="0" applyNumberFormat="1" applyFont="1" applyBorder="1" applyAlignment="1">
      <alignment horizontal="center" vertical="center"/>
    </xf>
    <xf numFmtId="3" fontId="4" fillId="0" borderId="47" xfId="0" applyNumberFormat="1" applyFont="1" applyBorder="1" applyAlignment="1">
      <alignment horizontal="center" vertical="center"/>
    </xf>
    <xf numFmtId="3" fontId="4" fillId="0" borderId="8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108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/>
    </xf>
    <xf numFmtId="3" fontId="4" fillId="0" borderId="39" xfId="0" applyNumberFormat="1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/>
    </xf>
    <xf numFmtId="3" fontId="4" fillId="0" borderId="5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93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2" fillId="0" borderId="0" xfId="0" applyFont="1"/>
    <xf numFmtId="0" fontId="25" fillId="0" borderId="0" xfId="0" applyFont="1"/>
    <xf numFmtId="0" fontId="28" fillId="0" borderId="9" xfId="0" applyFont="1" applyBorder="1" applyAlignment="1">
      <alignment vertical="center"/>
    </xf>
    <xf numFmtId="0" fontId="28" fillId="0" borderId="10" xfId="0" applyFont="1" applyBorder="1" applyAlignment="1">
      <alignment horizontal="right" vertical="center" indent="2"/>
    </xf>
    <xf numFmtId="0" fontId="28" fillId="0" borderId="1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3" fontId="24" fillId="0" borderId="61" xfId="0" applyNumberFormat="1" applyFont="1" applyBorder="1" applyAlignment="1">
      <alignment horizontal="center" vertical="center"/>
    </xf>
    <xf numFmtId="3" fontId="24" fillId="0" borderId="36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4" fillId="0" borderId="60" xfId="0" applyNumberFormat="1" applyFont="1" applyBorder="1" applyAlignment="1">
      <alignment horizontal="center" vertical="center"/>
    </xf>
    <xf numFmtId="3" fontId="24" fillId="0" borderId="97" xfId="0" applyNumberFormat="1" applyFont="1" applyBorder="1" applyAlignment="1">
      <alignment horizontal="center" vertical="center"/>
    </xf>
    <xf numFmtId="3" fontId="24" fillId="0" borderId="46" xfId="0" applyNumberFormat="1" applyFont="1" applyBorder="1" applyAlignment="1">
      <alignment horizontal="center" vertical="center"/>
    </xf>
    <xf numFmtId="3" fontId="24" fillId="0" borderId="34" xfId="0" applyNumberFormat="1" applyFont="1" applyBorder="1" applyAlignment="1">
      <alignment horizontal="center" vertical="center"/>
    </xf>
    <xf numFmtId="3" fontId="24" fillId="0" borderId="47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3" fontId="24" fillId="0" borderId="72" xfId="0" applyNumberFormat="1" applyFont="1" applyBorder="1" applyAlignment="1">
      <alignment horizontal="center" vertical="center"/>
    </xf>
    <xf numFmtId="3" fontId="24" fillId="0" borderId="6" xfId="0" applyNumberFormat="1" applyFont="1" applyBorder="1" applyAlignment="1">
      <alignment horizontal="center" vertical="center"/>
    </xf>
    <xf numFmtId="3" fontId="24" fillId="0" borderId="52" xfId="0" applyNumberFormat="1" applyFont="1" applyBorder="1" applyAlignment="1">
      <alignment horizontal="center" vertical="center"/>
    </xf>
    <xf numFmtId="3" fontId="24" fillId="0" borderId="48" xfId="0" applyNumberFormat="1" applyFont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3" fontId="24" fillId="0" borderId="49" xfId="0" applyNumberFormat="1" applyFont="1" applyBorder="1" applyAlignment="1">
      <alignment horizontal="center" vertical="center"/>
    </xf>
    <xf numFmtId="3" fontId="24" fillId="0" borderId="17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 wrapText="1" readingOrder="2"/>
    </xf>
    <xf numFmtId="0" fontId="24" fillId="0" borderId="0" xfId="0" applyFont="1" applyAlignment="1">
      <alignment horizontal="right" vertical="center" wrapText="1" indent="1" readingOrder="2"/>
    </xf>
    <xf numFmtId="0" fontId="24" fillId="0" borderId="41" xfId="0" applyFont="1" applyBorder="1" applyAlignment="1">
      <alignment horizontal="center" vertical="center" wrapText="1" readingOrder="2"/>
    </xf>
    <xf numFmtId="0" fontId="28" fillId="0" borderId="94" xfId="0" applyFont="1" applyBorder="1" applyAlignment="1">
      <alignment horizontal="right" vertical="center" indent="1"/>
    </xf>
    <xf numFmtId="3" fontId="24" fillId="0" borderId="9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0" fontId="28" fillId="0" borderId="0" xfId="0" applyFont="1" applyAlignment="1">
      <alignment horizontal="right" vertical="center" indent="1"/>
    </xf>
    <xf numFmtId="0" fontId="28" fillId="0" borderId="0" xfId="0" applyFont="1" applyAlignment="1">
      <alignment horizontal="center" vertical="center" wrapText="1" readingOrder="2"/>
    </xf>
    <xf numFmtId="0" fontId="28" fillId="0" borderId="0" xfId="0" applyFont="1" applyAlignment="1">
      <alignment vertical="center" wrapText="1" readingOrder="2"/>
    </xf>
    <xf numFmtId="0" fontId="22" fillId="0" borderId="15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30" fillId="0" borderId="0" xfId="0" applyFont="1"/>
    <xf numFmtId="0" fontId="28" fillId="0" borderId="0" xfId="0" applyFont="1"/>
    <xf numFmtId="0" fontId="31" fillId="0" borderId="0" xfId="0" applyFont="1"/>
    <xf numFmtId="0" fontId="32" fillId="0" borderId="0" xfId="0" applyFont="1"/>
    <xf numFmtId="3" fontId="33" fillId="0" borderId="58" xfId="0" applyNumberFormat="1" applyFont="1" applyBorder="1" applyAlignment="1">
      <alignment horizontal="center" vertical="center"/>
    </xf>
    <xf numFmtId="3" fontId="33" fillId="0" borderId="4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3" fontId="33" fillId="0" borderId="29" xfId="0" applyNumberFormat="1" applyFont="1" applyBorder="1" applyAlignment="1">
      <alignment horizontal="center" vertical="center"/>
    </xf>
    <xf numFmtId="3" fontId="33" fillId="0" borderId="4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" fontId="33" fillId="0" borderId="78" xfId="0" applyNumberFormat="1" applyFont="1" applyBorder="1" applyAlignment="1">
      <alignment horizontal="center" vertical="center"/>
    </xf>
    <xf numFmtId="3" fontId="33" fillId="0" borderId="81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3" fontId="13" fillId="0" borderId="57" xfId="0" applyNumberFormat="1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3" fontId="33" fillId="0" borderId="70" xfId="0" applyNumberFormat="1" applyFont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3" fontId="33" fillId="0" borderId="76" xfId="0" applyNumberFormat="1" applyFont="1" applyBorder="1" applyAlignment="1">
      <alignment horizontal="center" vertical="center"/>
    </xf>
    <xf numFmtId="3" fontId="33" fillId="0" borderId="68" xfId="0" applyNumberFormat="1" applyFont="1" applyBorder="1" applyAlignment="1">
      <alignment horizontal="center" vertical="center"/>
    </xf>
    <xf numFmtId="3" fontId="33" fillId="0" borderId="72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 wrapText="1"/>
    </xf>
    <xf numFmtId="3" fontId="5" fillId="0" borderId="101" xfId="0" applyNumberFormat="1" applyFont="1" applyBorder="1" applyAlignment="1">
      <alignment horizontal="center" vertical="center" wrapText="1"/>
    </xf>
    <xf numFmtId="3" fontId="5" fillId="0" borderId="64" xfId="0" applyNumberFormat="1" applyFont="1" applyBorder="1" applyAlignment="1">
      <alignment horizontal="center" vertical="center" wrapText="1"/>
    </xf>
    <xf numFmtId="3" fontId="5" fillId="0" borderId="76" xfId="0" applyNumberFormat="1" applyFont="1" applyBorder="1" applyAlignment="1">
      <alignment horizontal="center" vertical="center" wrapText="1"/>
    </xf>
    <xf numFmtId="3" fontId="5" fillId="0" borderId="99" xfId="0" applyNumberFormat="1" applyFont="1" applyBorder="1" applyAlignment="1">
      <alignment horizontal="center" vertical="center" wrapText="1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24" xfId="0" applyNumberFormat="1" applyFont="1" applyBorder="1" applyAlignment="1">
      <alignment horizontal="center" vertical="center" wrapText="1"/>
    </xf>
    <xf numFmtId="3" fontId="5" fillId="0" borderId="87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0" borderId="10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3" fontId="14" fillId="0" borderId="49" xfId="0" applyNumberFormat="1" applyFont="1" applyBorder="1" applyAlignment="1">
      <alignment horizontal="center"/>
    </xf>
    <xf numFmtId="3" fontId="14" fillId="0" borderId="47" xfId="0" applyNumberFormat="1" applyFont="1" applyBorder="1" applyAlignment="1">
      <alignment horizontal="center"/>
    </xf>
    <xf numFmtId="3" fontId="14" fillId="0" borderId="16" xfId="0" applyNumberFormat="1" applyFont="1" applyBorder="1" applyAlignment="1">
      <alignment horizontal="center"/>
    </xf>
    <xf numFmtId="3" fontId="14" fillId="0" borderId="46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3" fontId="14" fillId="0" borderId="34" xfId="0" applyNumberFormat="1" applyFont="1" applyBorder="1" applyAlignment="1">
      <alignment horizontal="center"/>
    </xf>
    <xf numFmtId="3" fontId="14" fillId="0" borderId="79" xfId="0" applyNumberFormat="1" applyFont="1" applyBorder="1" applyAlignment="1">
      <alignment horizontal="center"/>
    </xf>
    <xf numFmtId="3" fontId="14" fillId="0" borderId="28" xfId="0" applyNumberFormat="1" applyFont="1" applyBorder="1" applyAlignment="1">
      <alignment horizontal="center"/>
    </xf>
    <xf numFmtId="3" fontId="14" fillId="0" borderId="37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49" xfId="0" applyFont="1" applyBorder="1" applyAlignment="1">
      <alignment horizontal="center" vertical="center" wrapText="1"/>
    </xf>
    <xf numFmtId="3" fontId="14" fillId="0" borderId="14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center"/>
    </xf>
    <xf numFmtId="3" fontId="14" fillId="0" borderId="55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83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57" xfId="0" applyNumberFormat="1" applyFont="1" applyBorder="1" applyAlignment="1">
      <alignment horizontal="center" vertical="center"/>
    </xf>
    <xf numFmtId="3" fontId="5" fillId="0" borderId="26" xfId="1" applyNumberFormat="1" applyFont="1" applyBorder="1" applyAlignment="1">
      <alignment horizontal="center" vertical="center" readingOrder="2"/>
    </xf>
    <xf numFmtId="3" fontId="5" fillId="0" borderId="27" xfId="1" applyNumberFormat="1" applyFont="1" applyBorder="1" applyAlignment="1">
      <alignment horizontal="center" vertical="center" readingOrder="2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 indent="1"/>
    </xf>
    <xf numFmtId="0" fontId="3" fillId="0" borderId="21" xfId="1" applyFont="1" applyBorder="1" applyAlignment="1">
      <alignment vertical="center"/>
    </xf>
    <xf numFmtId="0" fontId="4" fillId="0" borderId="43" xfId="1" applyFont="1" applyBorder="1" applyAlignment="1">
      <alignment vertical="center"/>
    </xf>
    <xf numFmtId="3" fontId="5" fillId="0" borderId="59" xfId="1" applyNumberFormat="1" applyFont="1" applyBorder="1" applyAlignment="1">
      <alignment horizontal="center" vertical="center" readingOrder="2"/>
    </xf>
    <xf numFmtId="3" fontId="11" fillId="0" borderId="3" xfId="1" applyNumberFormat="1" applyFont="1" applyBorder="1" applyAlignment="1">
      <alignment horizontal="center" vertical="center" readingOrder="2"/>
    </xf>
    <xf numFmtId="3" fontId="5" fillId="0" borderId="78" xfId="1" applyNumberFormat="1" applyFont="1" applyBorder="1" applyAlignment="1">
      <alignment horizontal="center" vertical="center" readingOrder="2"/>
    </xf>
    <xf numFmtId="3" fontId="14" fillId="0" borderId="5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24" fillId="0" borderId="88" xfId="0" applyNumberFormat="1" applyFont="1" applyBorder="1" applyAlignment="1">
      <alignment horizontal="center" vertical="center"/>
    </xf>
    <xf numFmtId="3" fontId="14" fillId="0" borderId="79" xfId="0" applyNumberFormat="1" applyFont="1" applyBorder="1" applyAlignment="1">
      <alignment horizontal="center" vertical="center" readingOrder="2"/>
    </xf>
    <xf numFmtId="3" fontId="14" fillId="0" borderId="56" xfId="0" applyNumberFormat="1" applyFont="1" applyBorder="1" applyAlignment="1">
      <alignment horizontal="center" vertical="center" readingOrder="2"/>
    </xf>
    <xf numFmtId="0" fontId="28" fillId="0" borderId="8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 readingOrder="2"/>
    </xf>
    <xf numFmtId="0" fontId="28" fillId="0" borderId="13" xfId="0" applyFont="1" applyBorder="1" applyAlignment="1">
      <alignment horizontal="right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 readingOrder="2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0" fillId="0" borderId="2" xfId="1" applyFont="1" applyBorder="1" applyAlignment="1">
      <alignment horizontal="right" vertical="center" readingOrder="2"/>
    </xf>
    <xf numFmtId="0" fontId="5" fillId="0" borderId="0" xfId="1" applyFont="1" applyAlignment="1">
      <alignment horizontal="right" vertical="center" readingOrder="2"/>
    </xf>
    <xf numFmtId="0" fontId="10" fillId="0" borderId="10" xfId="0" applyFont="1" applyBorder="1" applyAlignment="1">
      <alignment vertical="center"/>
    </xf>
    <xf numFmtId="0" fontId="28" fillId="0" borderId="32" xfId="0" applyFont="1" applyBorder="1" applyAlignment="1">
      <alignment vertical="center"/>
    </xf>
    <xf numFmtId="3" fontId="13" fillId="0" borderId="66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center" vertical="center"/>
    </xf>
    <xf numFmtId="0" fontId="51" fillId="0" borderId="102" xfId="0" applyFont="1" applyBorder="1" applyAlignment="1">
      <alignment vertical="center" wrapText="1"/>
    </xf>
    <xf numFmtId="0" fontId="3" fillId="0" borderId="27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3" fontId="14" fillId="0" borderId="72" xfId="0" applyNumberFormat="1" applyFont="1" applyBorder="1" applyAlignment="1">
      <alignment horizontal="center"/>
    </xf>
    <xf numFmtId="3" fontId="14" fillId="0" borderId="25" xfId="0" applyNumberFormat="1" applyFont="1" applyBorder="1" applyAlignment="1">
      <alignment horizontal="center"/>
    </xf>
    <xf numFmtId="3" fontId="14" fillId="0" borderId="76" xfId="0" applyNumberFormat="1" applyFont="1" applyBorder="1" applyAlignment="1">
      <alignment horizontal="center"/>
    </xf>
    <xf numFmtId="3" fontId="14" fillId="0" borderId="99" xfId="0" applyNumberFormat="1" applyFont="1" applyBorder="1" applyAlignment="1">
      <alignment horizontal="center"/>
    </xf>
    <xf numFmtId="3" fontId="14" fillId="0" borderId="68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/>
    </xf>
    <xf numFmtId="0" fontId="14" fillId="0" borderId="76" xfId="0" applyFont="1" applyBorder="1" applyAlignment="1">
      <alignment horizontal="center"/>
    </xf>
    <xf numFmtId="0" fontId="14" fillId="0" borderId="72" xfId="0" applyFont="1" applyBorder="1" applyAlignment="1">
      <alignment horizontal="center" vertical="center" wrapText="1"/>
    </xf>
    <xf numFmtId="3" fontId="5" fillId="0" borderId="28" xfId="1" applyNumberFormat="1" applyFont="1" applyBorder="1" applyAlignment="1">
      <alignment horizontal="center" vertical="center" readingOrder="2"/>
    </xf>
    <xf numFmtId="3" fontId="5" fillId="0" borderId="25" xfId="1" applyNumberFormat="1" applyFont="1" applyBorder="1" applyAlignment="1">
      <alignment horizontal="center" vertical="center" readingOrder="2"/>
    </xf>
    <xf numFmtId="4" fontId="14" fillId="0" borderId="69" xfId="0" applyNumberFormat="1" applyFont="1" applyBorder="1" applyAlignment="1">
      <alignment horizontal="center" vertical="center" readingOrder="2"/>
    </xf>
    <xf numFmtId="4" fontId="14" fillId="0" borderId="34" xfId="0" applyNumberFormat="1" applyFont="1" applyBorder="1" applyAlignment="1">
      <alignment horizontal="center" readingOrder="2"/>
    </xf>
    <xf numFmtId="4" fontId="14" fillId="0" borderId="3" xfId="0" applyNumberFormat="1" applyFont="1" applyBorder="1" applyAlignment="1">
      <alignment horizontal="center" readingOrder="2"/>
    </xf>
    <xf numFmtId="4" fontId="14" fillId="0" borderId="6" xfId="0" applyNumberFormat="1" applyFont="1" applyBorder="1" applyAlignment="1">
      <alignment horizontal="center" readingOrder="2"/>
    </xf>
    <xf numFmtId="4" fontId="14" fillId="0" borderId="33" xfId="0" applyNumberFormat="1" applyFont="1" applyBorder="1" applyAlignment="1">
      <alignment horizontal="center" readingOrder="2"/>
    </xf>
    <xf numFmtId="4" fontId="14" fillId="0" borderId="11" xfId="0" applyNumberFormat="1" applyFont="1" applyBorder="1" applyAlignment="1">
      <alignment horizontal="center" readingOrder="2"/>
    </xf>
    <xf numFmtId="4" fontId="14" fillId="0" borderId="84" xfId="0" applyNumberFormat="1" applyFont="1" applyBorder="1" applyAlignment="1">
      <alignment horizontal="center" readingOrder="2"/>
    </xf>
    <xf numFmtId="3" fontId="14" fillId="0" borderId="56" xfId="0" applyNumberFormat="1" applyFont="1" applyBorder="1" applyAlignment="1">
      <alignment horizontal="center" vertical="center"/>
    </xf>
    <xf numFmtId="4" fontId="29" fillId="2" borderId="8" xfId="1" applyNumberFormat="1" applyFont="1" applyFill="1" applyBorder="1" applyAlignment="1">
      <alignment horizontal="center" vertical="center" wrapText="1"/>
    </xf>
    <xf numFmtId="4" fontId="14" fillId="0" borderId="50" xfId="0" applyNumberFormat="1" applyFont="1" applyBorder="1" applyAlignment="1">
      <alignment horizontal="center" readingOrder="2"/>
    </xf>
    <xf numFmtId="4" fontId="14" fillId="0" borderId="51" xfId="0" applyNumberFormat="1" applyFont="1" applyBorder="1" applyAlignment="1">
      <alignment horizontal="center" readingOrder="2"/>
    </xf>
    <xf numFmtId="4" fontId="14" fillId="0" borderId="60" xfId="0" applyNumberFormat="1" applyFont="1" applyBorder="1" applyAlignment="1">
      <alignment horizontal="center" readingOrder="2"/>
    </xf>
    <xf numFmtId="4" fontId="14" fillId="0" borderId="46" xfId="0" applyNumberFormat="1" applyFont="1" applyBorder="1" applyAlignment="1">
      <alignment horizontal="center" readingOrder="2"/>
    </xf>
    <xf numFmtId="4" fontId="14" fillId="0" borderId="52" xfId="0" applyNumberFormat="1" applyFont="1" applyBorder="1" applyAlignment="1">
      <alignment horizontal="center" readingOrder="2"/>
    </xf>
    <xf numFmtId="0" fontId="36" fillId="2" borderId="81" xfId="1" applyFont="1" applyFill="1" applyBorder="1" applyAlignment="1">
      <alignment horizontal="center" vertical="center"/>
    </xf>
    <xf numFmtId="0" fontId="13" fillId="0" borderId="15" xfId="1" applyFont="1" applyBorder="1" applyAlignment="1">
      <alignment horizontal="right" vertical="top"/>
    </xf>
    <xf numFmtId="0" fontId="13" fillId="0" borderId="10" xfId="1" applyFont="1" applyBorder="1" applyAlignment="1">
      <alignment horizontal="right" vertical="top"/>
    </xf>
    <xf numFmtId="0" fontId="13" fillId="0" borderId="24" xfId="1" applyFont="1" applyBorder="1" applyAlignment="1">
      <alignment horizontal="right" vertical="top"/>
    </xf>
    <xf numFmtId="0" fontId="13" fillId="0" borderId="32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 indent="1"/>
    </xf>
    <xf numFmtId="0" fontId="13" fillId="0" borderId="41" xfId="1" applyFont="1" applyBorder="1" applyAlignment="1">
      <alignment horizontal="right" vertical="center" indent="1"/>
    </xf>
    <xf numFmtId="0" fontId="13" fillId="0" borderId="60" xfId="1" applyFont="1" applyBorder="1" applyAlignment="1">
      <alignment horizontal="center" vertical="center" wrapText="1"/>
    </xf>
    <xf numFmtId="0" fontId="13" fillId="0" borderId="81" xfId="1" applyFont="1" applyBorder="1" applyAlignment="1">
      <alignment horizontal="center" vertical="center" wrapText="1"/>
    </xf>
    <xf numFmtId="0" fontId="9" fillId="0" borderId="81" xfId="1" applyFont="1" applyBorder="1" applyAlignment="1">
      <alignment horizontal="center" vertical="center" wrapText="1"/>
    </xf>
    <xf numFmtId="0" fontId="9" fillId="0" borderId="72" xfId="1" applyFont="1" applyBorder="1" applyAlignment="1">
      <alignment horizontal="center" vertical="center" wrapText="1"/>
    </xf>
    <xf numFmtId="0" fontId="13" fillId="0" borderId="72" xfId="1" applyFont="1" applyBorder="1" applyAlignment="1">
      <alignment horizontal="center" vertical="center" wrapText="1"/>
    </xf>
    <xf numFmtId="0" fontId="13" fillId="0" borderId="66" xfId="1" applyFont="1" applyBorder="1" applyAlignment="1">
      <alignment horizontal="center" vertical="center" wrapText="1"/>
    </xf>
    <xf numFmtId="0" fontId="13" fillId="0" borderId="67" xfId="1" applyFont="1" applyBorder="1" applyAlignment="1">
      <alignment horizontal="center" vertical="center" wrapText="1"/>
    </xf>
    <xf numFmtId="0" fontId="13" fillId="0" borderId="114" xfId="1" applyFont="1" applyBorder="1" applyAlignment="1">
      <alignment horizontal="right" vertical="center" wrapText="1"/>
    </xf>
    <xf numFmtId="0" fontId="13" fillId="0" borderId="63" xfId="1" applyFont="1" applyBorder="1" applyAlignment="1">
      <alignment horizontal="right" vertical="center" wrapText="1"/>
    </xf>
    <xf numFmtId="0" fontId="13" fillId="0" borderId="55" xfId="1" applyFont="1" applyBorder="1" applyAlignment="1">
      <alignment horizontal="right" vertical="center" wrapText="1"/>
    </xf>
    <xf numFmtId="0" fontId="13" fillId="0" borderId="3" xfId="1" applyFont="1" applyBorder="1" applyAlignment="1">
      <alignment horizontal="right" vertical="center" wrapText="1"/>
    </xf>
    <xf numFmtId="0" fontId="13" fillId="0" borderId="56" xfId="1" applyFont="1" applyBorder="1" applyAlignment="1">
      <alignment horizontal="right" vertical="center" wrapText="1"/>
    </xf>
    <xf numFmtId="0" fontId="13" fillId="0" borderId="6" xfId="1" applyFont="1" applyBorder="1" applyAlignment="1">
      <alignment horizontal="right" vertical="center" wrapText="1"/>
    </xf>
    <xf numFmtId="0" fontId="13" fillId="0" borderId="32" xfId="1" applyFont="1" applyBorder="1" applyAlignment="1">
      <alignment horizontal="center" vertical="center"/>
    </xf>
    <xf numFmtId="0" fontId="13" fillId="0" borderId="41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4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 wrapText="1"/>
    </xf>
    <xf numFmtId="0" fontId="13" fillId="0" borderId="42" xfId="1" applyFont="1" applyBorder="1" applyAlignment="1">
      <alignment horizontal="center" vertical="center" wrapText="1"/>
    </xf>
    <xf numFmtId="0" fontId="13" fillId="0" borderId="81" xfId="1" applyFont="1" applyBorder="1" applyAlignment="1">
      <alignment horizontal="center" vertical="center"/>
    </xf>
    <xf numFmtId="0" fontId="9" fillId="0" borderId="81" xfId="1" applyFont="1" applyBorder="1" applyAlignment="1">
      <alignment vertical="center"/>
    </xf>
    <xf numFmtId="0" fontId="13" fillId="0" borderId="15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right" vertical="center" indent="1"/>
    </xf>
    <xf numFmtId="0" fontId="13" fillId="0" borderId="42" xfId="1" applyFont="1" applyBorder="1" applyAlignment="1">
      <alignment horizontal="right" vertical="center" indent="1"/>
    </xf>
    <xf numFmtId="0" fontId="13" fillId="0" borderId="0" xfId="1" applyFont="1" applyAlignment="1">
      <alignment horizontal="right" vertical="center" indent="1"/>
    </xf>
    <xf numFmtId="0" fontId="13" fillId="0" borderId="43" xfId="1" applyFont="1" applyBorder="1" applyAlignment="1">
      <alignment horizontal="right" vertical="center" indent="1"/>
    </xf>
    <xf numFmtId="0" fontId="38" fillId="0" borderId="3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right" vertical="center"/>
    </xf>
    <xf numFmtId="0" fontId="28" fillId="0" borderId="42" xfId="0" applyFont="1" applyBorder="1" applyAlignment="1">
      <alignment horizontal="right" vertical="center"/>
    </xf>
    <xf numFmtId="0" fontId="28" fillId="0" borderId="23" xfId="0" applyFont="1" applyBorder="1" applyAlignment="1">
      <alignment horizontal="center" vertical="center" wrapText="1" readingOrder="2"/>
    </xf>
    <xf numFmtId="0" fontId="28" fillId="0" borderId="9" xfId="0" applyFont="1" applyBorder="1" applyAlignment="1">
      <alignment horizontal="center" vertical="center" wrapText="1" readingOrder="2"/>
    </xf>
    <xf numFmtId="0" fontId="28" fillId="0" borderId="42" xfId="0" applyFont="1" applyBorder="1" applyAlignment="1">
      <alignment horizontal="center" vertical="center" wrapText="1" readingOrder="2"/>
    </xf>
    <xf numFmtId="0" fontId="28" fillId="0" borderId="10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 readingOrder="2"/>
    </xf>
    <xf numFmtId="0" fontId="24" fillId="0" borderId="10" xfId="0" applyFont="1" applyBorder="1" applyAlignment="1">
      <alignment horizontal="center" vertical="center" wrapText="1" readingOrder="2"/>
    </xf>
    <xf numFmtId="0" fontId="24" fillId="0" borderId="24" xfId="0" applyFont="1" applyBorder="1" applyAlignment="1">
      <alignment horizontal="center" vertical="center" wrapText="1" readingOrder="2"/>
    </xf>
    <xf numFmtId="0" fontId="28" fillId="0" borderId="21" xfId="0" applyFont="1" applyBorder="1" applyAlignment="1">
      <alignment horizontal="center" vertical="center" wrapText="1" readingOrder="2"/>
    </xf>
    <xf numFmtId="0" fontId="28" fillId="0" borderId="43" xfId="0" applyFont="1" applyBorder="1" applyAlignment="1">
      <alignment horizontal="center" vertical="center" wrapText="1" readingOrder="2"/>
    </xf>
    <xf numFmtId="0" fontId="28" fillId="0" borderId="15" xfId="0" applyFont="1" applyBorder="1" applyAlignment="1">
      <alignment horizontal="center" vertical="center" wrapText="1" readingOrder="2"/>
    </xf>
    <xf numFmtId="0" fontId="28" fillId="0" borderId="24" xfId="0" applyFont="1" applyBorder="1" applyAlignment="1">
      <alignment horizontal="center" vertical="center" wrapText="1" readingOrder="2"/>
    </xf>
    <xf numFmtId="0" fontId="38" fillId="0" borderId="66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 textRotation="90" readingOrder="2"/>
    </xf>
    <xf numFmtId="0" fontId="28" fillId="0" borderId="81" xfId="0" applyFont="1" applyBorder="1" applyAlignment="1">
      <alignment horizontal="center" vertical="center" textRotation="90" readingOrder="2"/>
    </xf>
    <xf numFmtId="0" fontId="28" fillId="0" borderId="72" xfId="0" applyFont="1" applyBorder="1" applyAlignment="1">
      <alignment horizontal="center" vertical="center" textRotation="90" readingOrder="2"/>
    </xf>
    <xf numFmtId="0" fontId="28" fillId="0" borderId="50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 textRotation="90" readingOrder="2"/>
    </xf>
    <xf numFmtId="0" fontId="28" fillId="0" borderId="16" xfId="0" applyFont="1" applyBorder="1" applyAlignment="1">
      <alignment horizontal="center" vertical="center"/>
    </xf>
    <xf numFmtId="0" fontId="28" fillId="0" borderId="94" xfId="0" applyFont="1" applyBorder="1" applyAlignment="1">
      <alignment horizontal="center" vertical="center"/>
    </xf>
    <xf numFmtId="0" fontId="28" fillId="0" borderId="13" xfId="0" applyFont="1" applyBorder="1" applyAlignment="1">
      <alignment horizontal="right" vertical="center"/>
    </xf>
    <xf numFmtId="0" fontId="28" fillId="0" borderId="13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4" fillId="0" borderId="23" xfId="0" applyFont="1" applyBorder="1" applyAlignment="1">
      <alignment horizontal="right" vertical="top"/>
    </xf>
    <xf numFmtId="0" fontId="24" fillId="0" borderId="9" xfId="0" applyFont="1" applyBorder="1" applyAlignment="1">
      <alignment horizontal="right" vertical="top"/>
    </xf>
    <xf numFmtId="0" fontId="24" fillId="0" borderId="42" xfId="0" applyFont="1" applyBorder="1" applyAlignment="1">
      <alignment horizontal="right" vertical="top"/>
    </xf>
    <xf numFmtId="0" fontId="24" fillId="0" borderId="21" xfId="0" applyFont="1" applyBorder="1" applyAlignment="1">
      <alignment horizontal="right" vertical="top" readingOrder="2"/>
    </xf>
    <xf numFmtId="0" fontId="24" fillId="0" borderId="0" xfId="0" applyFont="1" applyAlignment="1">
      <alignment horizontal="right" vertical="top" readingOrder="2"/>
    </xf>
    <xf numFmtId="0" fontId="24" fillId="0" borderId="43" xfId="0" applyFont="1" applyBorder="1" applyAlignment="1">
      <alignment horizontal="right" vertical="top" readingOrder="2"/>
    </xf>
    <xf numFmtId="0" fontId="24" fillId="0" borderId="21" xfId="0" applyFont="1" applyBorder="1" applyAlignment="1">
      <alignment horizontal="right" vertical="center" readingOrder="2"/>
    </xf>
    <xf numFmtId="0" fontId="24" fillId="0" borderId="0" xfId="0" applyFont="1" applyAlignment="1">
      <alignment horizontal="right" vertical="center" readingOrder="2"/>
    </xf>
    <xf numFmtId="0" fontId="24" fillId="0" borderId="43" xfId="0" applyFont="1" applyBorder="1" applyAlignment="1">
      <alignment horizontal="right" vertical="center" readingOrder="2"/>
    </xf>
    <xf numFmtId="0" fontId="24" fillId="0" borderId="15" xfId="0" applyFont="1" applyBorder="1" applyAlignment="1">
      <alignment horizontal="right" vertical="top" readingOrder="2"/>
    </xf>
    <xf numFmtId="0" fontId="24" fillId="0" borderId="10" xfId="0" applyFont="1" applyBorder="1" applyAlignment="1">
      <alignment horizontal="right" vertical="top" readingOrder="2"/>
    </xf>
    <xf numFmtId="0" fontId="24" fillId="0" borderId="24" xfId="0" applyFont="1" applyBorder="1" applyAlignment="1">
      <alignment horizontal="right" vertical="top" readingOrder="2"/>
    </xf>
    <xf numFmtId="0" fontId="33" fillId="0" borderId="13" xfId="0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33" fillId="0" borderId="0" xfId="0" applyFont="1" applyAlignment="1">
      <alignment horizontal="right" vertical="center"/>
    </xf>
    <xf numFmtId="0" fontId="33" fillId="0" borderId="43" xfId="0" applyFont="1" applyBorder="1" applyAlignment="1">
      <alignment horizontal="right" vertical="center"/>
    </xf>
    <xf numFmtId="0" fontId="33" fillId="0" borderId="32" xfId="0" applyFont="1" applyBorder="1" applyAlignment="1">
      <alignment horizontal="center"/>
    </xf>
    <xf numFmtId="0" fontId="33" fillId="0" borderId="23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9" xfId="0" applyFont="1" applyBorder="1" applyAlignment="1">
      <alignment horizontal="right" vertical="center" indent="1"/>
    </xf>
    <xf numFmtId="0" fontId="33" fillId="0" borderId="42" xfId="0" applyFont="1" applyBorder="1" applyAlignment="1">
      <alignment horizontal="right" vertical="center" indent="1"/>
    </xf>
    <xf numFmtId="0" fontId="33" fillId="0" borderId="2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right" vertical="center" indent="1"/>
    </xf>
    <xf numFmtId="0" fontId="33" fillId="0" borderId="24" xfId="0" applyFont="1" applyBorder="1" applyAlignment="1">
      <alignment horizontal="right" vertical="center" indent="1"/>
    </xf>
    <xf numFmtId="0" fontId="33" fillId="0" borderId="15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 readingOrder="2"/>
    </xf>
    <xf numFmtId="0" fontId="33" fillId="0" borderId="15" xfId="0" applyFont="1" applyBorder="1" applyAlignment="1">
      <alignment horizontal="center" vertical="center" wrapText="1" readingOrder="2"/>
    </xf>
    <xf numFmtId="0" fontId="33" fillId="0" borderId="3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right" vertical="center"/>
    </xf>
    <xf numFmtId="0" fontId="33" fillId="0" borderId="41" xfId="0" applyFont="1" applyBorder="1" applyAlignment="1">
      <alignment horizontal="right" vertical="center"/>
    </xf>
    <xf numFmtId="0" fontId="33" fillId="0" borderId="42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/>
    </xf>
    <xf numFmtId="0" fontId="33" fillId="0" borderId="87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right" vertical="center" wrapText="1"/>
    </xf>
    <xf numFmtId="0" fontId="50" fillId="0" borderId="12" xfId="0" applyFont="1" applyBorder="1" applyAlignment="1">
      <alignment horizontal="right" vertical="center" wrapText="1"/>
    </xf>
    <xf numFmtId="0" fontId="50" fillId="0" borderId="93" xfId="0" applyFont="1" applyBorder="1" applyAlignment="1">
      <alignment horizontal="right" vertical="center" wrapText="1"/>
    </xf>
    <xf numFmtId="0" fontId="50" fillId="0" borderId="21" xfId="0" applyFont="1" applyBorder="1" applyAlignment="1">
      <alignment horizontal="right" vertical="center" wrapText="1" readingOrder="2"/>
    </xf>
    <xf numFmtId="0" fontId="50" fillId="0" borderId="0" xfId="0" applyFont="1" applyAlignment="1">
      <alignment horizontal="right" vertical="center" wrapText="1" readingOrder="2"/>
    </xf>
    <xf numFmtId="0" fontId="50" fillId="0" borderId="43" xfId="0" applyFont="1" applyBorder="1" applyAlignment="1">
      <alignment horizontal="right" vertical="center" wrapText="1" readingOrder="2"/>
    </xf>
    <xf numFmtId="0" fontId="50" fillId="0" borderId="0" xfId="0" applyFont="1" applyAlignment="1">
      <alignment horizontal="right" vertical="center" readingOrder="2"/>
    </xf>
    <xf numFmtId="0" fontId="50" fillId="0" borderId="43" xfId="0" applyFont="1" applyBorder="1" applyAlignment="1">
      <alignment horizontal="right" vertical="center" readingOrder="2"/>
    </xf>
    <xf numFmtId="0" fontId="11" fillId="2" borderId="21" xfId="0" applyFont="1" applyFill="1" applyBorder="1" applyAlignment="1">
      <alignment horizontal="right" vertical="center" wrapText="1" readingOrder="2"/>
    </xf>
    <xf numFmtId="0" fontId="11" fillId="2" borderId="0" xfId="0" applyFont="1" applyFill="1" applyAlignment="1">
      <alignment horizontal="right" vertical="center" wrapText="1" readingOrder="2"/>
    </xf>
    <xf numFmtId="0" fontId="11" fillId="2" borderId="43" xfId="0" applyFont="1" applyFill="1" applyBorder="1" applyAlignment="1">
      <alignment horizontal="right" vertical="center" wrapText="1" readingOrder="2"/>
    </xf>
    <xf numFmtId="0" fontId="49" fillId="2" borderId="23" xfId="0" applyFont="1" applyFill="1" applyBorder="1" applyAlignment="1">
      <alignment horizontal="right" vertical="center" wrapText="1"/>
    </xf>
    <xf numFmtId="0" fontId="49" fillId="2" borderId="9" xfId="0" applyFont="1" applyFill="1" applyBorder="1" applyAlignment="1">
      <alignment horizontal="right" vertical="center" wrapText="1"/>
    </xf>
    <xf numFmtId="0" fontId="49" fillId="2" borderId="42" xfId="0" applyFont="1" applyFill="1" applyBorder="1" applyAlignment="1">
      <alignment horizontal="right" vertical="center" wrapText="1"/>
    </xf>
    <xf numFmtId="0" fontId="49" fillId="2" borderId="16" xfId="0" applyFont="1" applyFill="1" applyBorder="1" applyAlignment="1">
      <alignment horizontal="right" vertical="center" wrapText="1"/>
    </xf>
    <xf numFmtId="0" fontId="49" fillId="2" borderId="71" xfId="0" applyFont="1" applyFill="1" applyBorder="1" applyAlignment="1">
      <alignment horizontal="right" vertical="center" wrapText="1"/>
    </xf>
    <xf numFmtId="0" fontId="49" fillId="2" borderId="94" xfId="0" applyFont="1" applyFill="1" applyBorder="1" applyAlignment="1">
      <alignment horizontal="right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readingOrder="2"/>
    </xf>
    <xf numFmtId="0" fontId="5" fillId="0" borderId="41" xfId="0" applyFont="1" applyBorder="1" applyAlignment="1">
      <alignment horizontal="right" vertical="center" readingOrder="2"/>
    </xf>
    <xf numFmtId="0" fontId="4" fillId="0" borderId="3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4" fillId="0" borderId="29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/>
    </xf>
    <xf numFmtId="0" fontId="0" fillId="0" borderId="13" xfId="0" applyBorder="1"/>
    <xf numFmtId="0" fontId="0" fillId="0" borderId="41" xfId="0" applyBorder="1"/>
    <xf numFmtId="0" fontId="11" fillId="0" borderId="9" xfId="0" applyFont="1" applyBorder="1" applyAlignment="1">
      <alignment horizontal="right" vertical="center" wrapText="1" indent="1" readingOrder="2"/>
    </xf>
    <xf numFmtId="0" fontId="11" fillId="0" borderId="42" xfId="0" applyFont="1" applyBorder="1" applyAlignment="1">
      <alignment horizontal="right" vertical="center" wrapText="1" indent="1" readingOrder="2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9" xfId="0" applyFont="1" applyBorder="1" applyAlignment="1">
      <alignment horizontal="right" vertical="center" wrapText="1" readingOrder="2"/>
    </xf>
    <xf numFmtId="0" fontId="11" fillId="0" borderId="42" xfId="0" applyFont="1" applyBorder="1" applyAlignment="1">
      <alignment horizontal="right" vertical="center" wrapText="1" readingOrder="2"/>
    </xf>
    <xf numFmtId="0" fontId="4" fillId="0" borderId="15" xfId="0" applyFont="1" applyBorder="1" applyAlignment="1">
      <alignment horizontal="center" vertical="center" readingOrder="2"/>
    </xf>
    <xf numFmtId="0" fontId="4" fillId="0" borderId="10" xfId="0" applyFont="1" applyBorder="1" applyAlignment="1">
      <alignment horizontal="center" vertical="center" readingOrder="2"/>
    </xf>
    <xf numFmtId="0" fontId="11" fillId="0" borderId="10" xfId="0" applyFont="1" applyBorder="1" applyAlignment="1">
      <alignment horizontal="right" vertical="center" indent="1" readingOrder="2"/>
    </xf>
    <xf numFmtId="0" fontId="11" fillId="0" borderId="24" xfId="0" applyFont="1" applyBorder="1" applyAlignment="1">
      <alignment horizontal="right" vertical="center" indent="1" readingOrder="2"/>
    </xf>
    <xf numFmtId="0" fontId="11" fillId="0" borderId="15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10" fillId="0" borderId="14" xfId="1" applyFont="1" applyBorder="1" applyAlignment="1">
      <alignment horizontal="right" vertical="center" wrapText="1" readingOrder="2"/>
    </xf>
    <xf numFmtId="0" fontId="10" fillId="0" borderId="11" xfId="1" applyFont="1" applyBorder="1" applyAlignment="1">
      <alignment horizontal="right" vertical="center" wrapText="1" readingOrder="2"/>
    </xf>
    <xf numFmtId="0" fontId="10" fillId="0" borderId="55" xfId="1" applyFont="1" applyBorder="1" applyAlignment="1">
      <alignment horizontal="right" vertical="center" wrapText="1" readingOrder="2"/>
    </xf>
    <xf numFmtId="0" fontId="10" fillId="0" borderId="5" xfId="1" applyFont="1" applyBorder="1" applyAlignment="1">
      <alignment horizontal="right" vertical="center" readingOrder="2"/>
    </xf>
    <xf numFmtId="0" fontId="10" fillId="0" borderId="7" xfId="1" applyFont="1" applyBorder="1" applyAlignment="1">
      <alignment horizontal="right" vertical="center" readingOrder="2"/>
    </xf>
    <xf numFmtId="0" fontId="4" fillId="0" borderId="32" xfId="1" applyFont="1" applyBorder="1" applyAlignment="1">
      <alignment horizontal="right" vertical="center" wrapText="1" readingOrder="2"/>
    </xf>
    <xf numFmtId="0" fontId="4" fillId="0" borderId="13" xfId="1" applyFont="1" applyBorder="1" applyAlignment="1">
      <alignment horizontal="right" vertical="center" wrapText="1" readingOrder="2"/>
    </xf>
    <xf numFmtId="0" fontId="4" fillId="0" borderId="10" xfId="1" applyFont="1" applyBorder="1" applyAlignment="1">
      <alignment horizontal="right" vertical="center" wrapText="1" readingOrder="2"/>
    </xf>
    <xf numFmtId="0" fontId="4" fillId="0" borderId="41" xfId="1" applyFont="1" applyBorder="1" applyAlignment="1">
      <alignment horizontal="right" vertical="center" wrapText="1" readingOrder="2"/>
    </xf>
    <xf numFmtId="0" fontId="4" fillId="0" borderId="32" xfId="1" applyFont="1" applyBorder="1" applyAlignment="1">
      <alignment horizontal="right" vertical="center" readingOrder="2"/>
    </xf>
    <xf numFmtId="0" fontId="4" fillId="0" borderId="13" xfId="1" applyFont="1" applyBorder="1" applyAlignment="1">
      <alignment horizontal="right" vertical="center" readingOrder="2"/>
    </xf>
    <xf numFmtId="0" fontId="4" fillId="0" borderId="13" xfId="1" applyFont="1" applyBorder="1" applyAlignment="1">
      <alignment horizontal="right" vertical="center"/>
    </xf>
    <xf numFmtId="0" fontId="4" fillId="0" borderId="41" xfId="1" applyFont="1" applyBorder="1" applyAlignment="1">
      <alignment horizontal="right" vertical="center"/>
    </xf>
    <xf numFmtId="0" fontId="10" fillId="0" borderId="1" xfId="1" applyFont="1" applyBorder="1" applyAlignment="1">
      <alignment horizontal="right" vertical="center" readingOrder="2"/>
    </xf>
    <xf numFmtId="0" fontId="10" fillId="0" borderId="8" xfId="1" applyFont="1" applyBorder="1" applyAlignment="1">
      <alignment horizontal="right" vertical="center" readingOrder="2"/>
    </xf>
    <xf numFmtId="0" fontId="10" fillId="0" borderId="2" xfId="1" applyFont="1" applyBorder="1" applyAlignment="1">
      <alignment horizontal="right" vertical="center" readingOrder="2"/>
    </xf>
    <xf numFmtId="0" fontId="10" fillId="0" borderId="4" xfId="1" applyFont="1" applyBorder="1" applyAlignment="1">
      <alignment horizontal="right" vertical="center" readingOrder="2"/>
    </xf>
    <xf numFmtId="0" fontId="10" fillId="0" borderId="14" xfId="1" applyFont="1" applyBorder="1" applyAlignment="1">
      <alignment horizontal="right" vertical="center" readingOrder="2"/>
    </xf>
    <xf numFmtId="0" fontId="10" fillId="0" borderId="55" xfId="1" applyFont="1" applyBorder="1" applyAlignment="1">
      <alignment horizontal="right" vertical="center" readingOrder="2"/>
    </xf>
    <xf numFmtId="0" fontId="4" fillId="0" borderId="2" xfId="1" applyFont="1" applyBorder="1" applyAlignment="1">
      <alignment horizontal="right" vertical="center" readingOrder="2"/>
    </xf>
    <xf numFmtId="0" fontId="4" fillId="0" borderId="4" xfId="1" applyFont="1" applyBorder="1" applyAlignment="1">
      <alignment horizontal="right" vertical="center" readingOrder="2"/>
    </xf>
    <xf numFmtId="0" fontId="4" fillId="0" borderId="4" xfId="1" applyFont="1" applyBorder="1" applyAlignment="1">
      <alignment horizontal="right" vertical="center" wrapText="1" readingOrder="2"/>
    </xf>
    <xf numFmtId="0" fontId="4" fillId="0" borderId="38" xfId="1" applyFont="1" applyBorder="1" applyAlignment="1">
      <alignment horizontal="right" vertical="center" readingOrder="2"/>
    </xf>
    <xf numFmtId="0" fontId="4" fillId="0" borderId="39" xfId="1" applyFont="1" applyBorder="1" applyAlignment="1">
      <alignment horizontal="right" vertical="center" readingOrder="2"/>
    </xf>
    <xf numFmtId="0" fontId="5" fillId="0" borderId="32" xfId="1" applyFont="1" applyBorder="1" applyAlignment="1">
      <alignment horizontal="right" vertical="center" readingOrder="2"/>
    </xf>
    <xf numFmtId="0" fontId="5" fillId="0" borderId="13" xfId="1" applyFont="1" applyBorder="1" applyAlignment="1">
      <alignment horizontal="right" vertical="center" readingOrder="2"/>
    </xf>
    <xf numFmtId="0" fontId="5" fillId="0" borderId="41" xfId="1" applyFont="1" applyBorder="1" applyAlignment="1">
      <alignment horizontal="right" vertical="center" readingOrder="2"/>
    </xf>
    <xf numFmtId="0" fontId="10" fillId="0" borderId="11" xfId="1" applyFont="1" applyBorder="1" applyAlignment="1">
      <alignment horizontal="right" vertical="center" readingOrder="2"/>
    </xf>
    <xf numFmtId="0" fontId="10" fillId="0" borderId="39" xfId="1" applyFont="1" applyBorder="1" applyAlignment="1">
      <alignment horizontal="right" vertical="center" wrapText="1" readingOrder="2"/>
    </xf>
    <xf numFmtId="0" fontId="10" fillId="0" borderId="74" xfId="1" applyFont="1" applyBorder="1" applyAlignment="1">
      <alignment horizontal="right" vertical="center" wrapText="1" readingOrder="2"/>
    </xf>
    <xf numFmtId="0" fontId="10" fillId="0" borderId="8" xfId="1" applyFont="1" applyBorder="1" applyAlignment="1">
      <alignment horizontal="right" vertical="center" wrapText="1" readingOrder="2"/>
    </xf>
    <xf numFmtId="0" fontId="5" fillId="0" borderId="21" xfId="1" applyFont="1" applyBorder="1" applyAlignment="1">
      <alignment horizontal="right" vertical="center" readingOrder="2"/>
    </xf>
    <xf numFmtId="0" fontId="5" fillId="0" borderId="0" xfId="1" applyFont="1" applyAlignment="1">
      <alignment horizontal="right" vertical="center" readingOrder="2"/>
    </xf>
    <xf numFmtId="0" fontId="10" fillId="0" borderId="16" xfId="1" applyFont="1" applyBorder="1" applyAlignment="1">
      <alignment horizontal="right" vertical="center" readingOrder="2"/>
    </xf>
    <xf numFmtId="0" fontId="10" fillId="0" borderId="71" xfId="1" applyFont="1" applyBorder="1" applyAlignment="1">
      <alignment horizontal="right" vertical="center" readingOrder="2"/>
    </xf>
    <xf numFmtId="0" fontId="10" fillId="0" borderId="54" xfId="1" applyFont="1" applyBorder="1" applyAlignment="1">
      <alignment horizontal="right" vertical="center" readingOrder="2"/>
    </xf>
    <xf numFmtId="0" fontId="16" fillId="0" borderId="4" xfId="1" applyFont="1" applyBorder="1" applyAlignment="1">
      <alignment horizontal="right" vertical="center" readingOrder="2"/>
    </xf>
    <xf numFmtId="0" fontId="10" fillId="0" borderId="4" xfId="1" applyFont="1" applyBorder="1" applyAlignment="1">
      <alignment horizontal="right" vertical="center" wrapText="1" readingOrder="2"/>
    </xf>
    <xf numFmtId="0" fontId="10" fillId="0" borderId="38" xfId="1" applyFont="1" applyBorder="1" applyAlignment="1">
      <alignment horizontal="right" vertical="center" readingOrder="2"/>
    </xf>
    <xf numFmtId="0" fontId="10" fillId="0" borderId="39" xfId="1" applyFont="1" applyBorder="1" applyAlignment="1">
      <alignment horizontal="right" vertical="center" readingOrder="2"/>
    </xf>
    <xf numFmtId="0" fontId="10" fillId="0" borderId="2" xfId="1" applyFont="1" applyBorder="1" applyAlignment="1">
      <alignment horizontal="right" vertical="center" wrapText="1" readingOrder="2"/>
    </xf>
    <xf numFmtId="0" fontId="41" fillId="0" borderId="2" xfId="1" applyFont="1" applyBorder="1" applyAlignment="1">
      <alignment horizontal="right"/>
    </xf>
    <xf numFmtId="0" fontId="6" fillId="0" borderId="4" xfId="1" applyBorder="1" applyAlignment="1">
      <alignment horizontal="right"/>
    </xf>
    <xf numFmtId="0" fontId="4" fillId="0" borderId="1" xfId="1" applyFont="1" applyBorder="1" applyAlignment="1">
      <alignment horizontal="right" vertical="center" readingOrder="2"/>
    </xf>
    <xf numFmtId="0" fontId="4" fillId="0" borderId="8" xfId="1" applyFont="1" applyBorder="1" applyAlignment="1">
      <alignment horizontal="right" vertical="center" readingOrder="2"/>
    </xf>
    <xf numFmtId="0" fontId="4" fillId="0" borderId="14" xfId="1" applyFont="1" applyBorder="1" applyAlignment="1">
      <alignment horizontal="right" vertical="center" readingOrder="2"/>
    </xf>
    <xf numFmtId="0" fontId="4" fillId="0" borderId="55" xfId="1" applyFont="1" applyBorder="1" applyAlignment="1">
      <alignment horizontal="right" vertical="center" readingOrder="2"/>
    </xf>
    <xf numFmtId="0" fontId="11" fillId="0" borderId="50" xfId="1" applyFont="1" applyBorder="1" applyAlignment="1">
      <alignment horizontal="right" vertical="center" readingOrder="2"/>
    </xf>
    <xf numFmtId="0" fontId="11" fillId="0" borderId="33" xfId="1" applyFont="1" applyBorder="1" applyAlignment="1">
      <alignment horizontal="right" vertical="center" readingOrder="2"/>
    </xf>
    <xf numFmtId="0" fontId="11" fillId="0" borderId="60" xfId="1" applyFont="1" applyBorder="1" applyAlignment="1">
      <alignment horizontal="right" vertical="center" readingOrder="2"/>
    </xf>
    <xf numFmtId="0" fontId="11" fillId="0" borderId="72" xfId="1" applyFont="1" applyBorder="1" applyAlignment="1">
      <alignment horizontal="right" vertical="center" readingOrder="2"/>
    </xf>
    <xf numFmtId="0" fontId="5" fillId="0" borderId="51" xfId="1" applyFont="1" applyBorder="1" applyAlignment="1">
      <alignment horizontal="right" vertical="center" readingOrder="2"/>
    </xf>
    <xf numFmtId="0" fontId="5" fillId="0" borderId="84" xfId="1" applyFont="1" applyBorder="1" applyAlignment="1">
      <alignment horizontal="right" vertical="center" readingOrder="2"/>
    </xf>
    <xf numFmtId="0" fontId="4" fillId="0" borderId="8" xfId="1" applyFont="1" applyBorder="1" applyAlignment="1">
      <alignment horizontal="right" vertical="center" wrapText="1" readingOrder="2"/>
    </xf>
    <xf numFmtId="0" fontId="4" fillId="0" borderId="2" xfId="1" applyFont="1" applyBorder="1" applyAlignment="1">
      <alignment horizontal="right" vertical="center" wrapText="1" readingOrder="2"/>
    </xf>
    <xf numFmtId="0" fontId="10" fillId="0" borderId="32" xfId="1" applyFont="1" applyBorder="1" applyAlignment="1">
      <alignment horizontal="center" vertical="center" wrapText="1" readingOrder="2"/>
    </xf>
    <xf numFmtId="0" fontId="10" fillId="0" borderId="41" xfId="1" applyFont="1" applyBorder="1" applyAlignment="1">
      <alignment horizontal="center" vertical="center" wrapText="1" readingOrder="2"/>
    </xf>
    <xf numFmtId="4" fontId="4" fillId="0" borderId="23" xfId="1" applyNumberFormat="1" applyFont="1" applyBorder="1" applyAlignment="1">
      <alignment horizontal="center" vertical="center" wrapText="1" readingOrder="2"/>
    </xf>
    <xf numFmtId="4" fontId="4" fillId="0" borderId="21" xfId="1" applyNumberFormat="1" applyFont="1" applyBorder="1" applyAlignment="1">
      <alignment horizontal="center" vertical="center" wrapText="1" readingOrder="2"/>
    </xf>
    <xf numFmtId="4" fontId="4" fillId="0" borderId="60" xfId="1" applyNumberFormat="1" applyFont="1" applyBorder="1" applyAlignment="1">
      <alignment horizontal="center" vertical="center" wrapText="1" readingOrder="2"/>
    </xf>
    <xf numFmtId="4" fontId="4" fillId="0" borderId="81" xfId="1" applyNumberFormat="1" applyFont="1" applyBorder="1" applyAlignment="1">
      <alignment horizontal="center" vertical="center" wrapText="1" readingOrder="2"/>
    </xf>
    <xf numFmtId="3" fontId="5" fillId="0" borderId="10" xfId="1" applyNumberFormat="1" applyFont="1" applyBorder="1" applyAlignment="1">
      <alignment horizontal="center" vertical="center" wrapText="1" readingOrder="2"/>
    </xf>
    <xf numFmtId="3" fontId="5" fillId="0" borderId="24" xfId="1" applyNumberFormat="1" applyFont="1" applyBorder="1" applyAlignment="1">
      <alignment horizontal="center" vertical="center" wrapText="1" readingOrder="2"/>
    </xf>
    <xf numFmtId="0" fontId="11" fillId="0" borderId="23" xfId="1" applyFont="1" applyBorder="1" applyAlignment="1">
      <alignment horizontal="center" vertical="center" readingOrder="2"/>
    </xf>
    <xf numFmtId="0" fontId="11" fillId="0" borderId="9" xfId="1" applyFont="1" applyBorder="1" applyAlignment="1">
      <alignment horizontal="center" vertical="center" readingOrder="2"/>
    </xf>
    <xf numFmtId="0" fontId="11" fillId="0" borderId="42" xfId="1" applyFont="1" applyBorder="1" applyAlignment="1">
      <alignment horizontal="center" vertical="center" readingOrder="2"/>
    </xf>
    <xf numFmtId="0" fontId="11" fillId="0" borderId="15" xfId="1" applyFont="1" applyBorder="1" applyAlignment="1">
      <alignment horizontal="center" vertical="center" readingOrder="2"/>
    </xf>
    <xf numFmtId="0" fontId="11" fillId="0" borderId="10" xfId="1" applyFont="1" applyBorder="1" applyAlignment="1">
      <alignment horizontal="center" vertical="center" readingOrder="2"/>
    </xf>
    <xf numFmtId="0" fontId="11" fillId="0" borderId="24" xfId="1" applyFont="1" applyBorder="1" applyAlignment="1">
      <alignment horizontal="center" vertical="center" readingOrder="2"/>
    </xf>
    <xf numFmtId="0" fontId="10" fillId="0" borderId="0" xfId="1" applyFont="1" applyAlignment="1">
      <alignment horizontal="right" vertical="center" readingOrder="2"/>
    </xf>
    <xf numFmtId="0" fontId="4" fillId="0" borderId="23" xfId="1" applyFont="1" applyBorder="1" applyAlignment="1">
      <alignment horizontal="right" readingOrder="2"/>
    </xf>
    <xf numFmtId="0" fontId="4" fillId="0" borderId="9" xfId="1" applyFont="1" applyBorder="1" applyAlignment="1">
      <alignment horizontal="right" readingOrder="2"/>
    </xf>
    <xf numFmtId="0" fontId="4" fillId="0" borderId="15" xfId="1" applyFont="1" applyBorder="1" applyAlignment="1">
      <alignment horizontal="right" readingOrder="2"/>
    </xf>
    <xf numFmtId="0" fontId="4" fillId="0" borderId="10" xfId="1" applyFont="1" applyBorder="1" applyAlignment="1">
      <alignment horizontal="right" readingOrder="2"/>
    </xf>
    <xf numFmtId="3" fontId="5" fillId="0" borderId="9" xfId="1" applyNumberFormat="1" applyFont="1" applyBorder="1" applyAlignment="1">
      <alignment horizontal="right" vertical="center" wrapText="1" indent="1" readingOrder="2"/>
    </xf>
    <xf numFmtId="3" fontId="5" fillId="0" borderId="42" xfId="1" applyNumberFormat="1" applyFont="1" applyBorder="1" applyAlignment="1">
      <alignment horizontal="right" vertical="center" wrapText="1" indent="1" readingOrder="2"/>
    </xf>
    <xf numFmtId="0" fontId="5" fillId="0" borderId="23" xfId="1" applyFont="1" applyBorder="1" applyAlignment="1">
      <alignment horizontal="center" vertical="center" wrapText="1" readingOrder="2"/>
    </xf>
    <xf numFmtId="0" fontId="5" fillId="0" borderId="9" xfId="1" applyFont="1" applyBorder="1" applyAlignment="1">
      <alignment horizontal="center" vertical="center" wrapText="1" readingOrder="2"/>
    </xf>
    <xf numFmtId="0" fontId="5" fillId="0" borderId="42" xfId="1" applyFont="1" applyBorder="1" applyAlignment="1">
      <alignment horizontal="center" vertical="center" wrapText="1" readingOrder="2"/>
    </xf>
    <xf numFmtId="3" fontId="5" fillId="0" borderId="10" xfId="1" applyNumberFormat="1" applyFont="1" applyBorder="1" applyAlignment="1">
      <alignment horizontal="right" vertical="center" indent="1" readingOrder="2"/>
    </xf>
    <xf numFmtId="3" fontId="5" fillId="0" borderId="24" xfId="1" applyNumberFormat="1" applyFont="1" applyBorder="1" applyAlignment="1">
      <alignment horizontal="right" vertical="center" indent="1" readingOrder="2"/>
    </xf>
    <xf numFmtId="0" fontId="5" fillId="0" borderId="15" xfId="1" applyFont="1" applyBorder="1" applyAlignment="1">
      <alignment horizontal="center" vertical="center" wrapText="1" readingOrder="2"/>
    </xf>
    <xf numFmtId="0" fontId="5" fillId="0" borderId="10" xfId="1" applyFont="1" applyBorder="1" applyAlignment="1">
      <alignment horizontal="center" vertical="center" wrapText="1" readingOrder="2"/>
    </xf>
    <xf numFmtId="0" fontId="5" fillId="0" borderId="24" xfId="1" applyFont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83" xfId="0" applyFont="1" applyBorder="1" applyAlignment="1">
      <alignment horizontal="center" vertical="center" readingOrder="2"/>
    </xf>
    <xf numFmtId="0" fontId="11" fillId="0" borderId="23" xfId="0" applyFont="1" applyBorder="1" applyAlignment="1">
      <alignment horizontal="center" vertical="center" readingOrder="2"/>
    </xf>
    <xf numFmtId="0" fontId="11" fillId="0" borderId="9" xfId="0" applyFont="1" applyBorder="1" applyAlignment="1">
      <alignment horizontal="center" vertical="center" readingOrder="2"/>
    </xf>
    <xf numFmtId="0" fontId="11" fillId="0" borderId="42" xfId="0" applyFont="1" applyBorder="1" applyAlignment="1">
      <alignment horizontal="center" vertical="center" readingOrder="2"/>
    </xf>
    <xf numFmtId="0" fontId="11" fillId="0" borderId="15" xfId="0" applyFont="1" applyBorder="1" applyAlignment="1">
      <alignment horizontal="center" vertical="center" readingOrder="2"/>
    </xf>
    <xf numFmtId="0" fontId="11" fillId="0" borderId="10" xfId="0" applyFont="1" applyBorder="1" applyAlignment="1">
      <alignment horizontal="center" vertical="center" readingOrder="2"/>
    </xf>
    <xf numFmtId="0" fontId="11" fillId="0" borderId="24" xfId="0" applyFont="1" applyBorder="1" applyAlignment="1">
      <alignment horizontal="center" vertical="center" readingOrder="2"/>
    </xf>
    <xf numFmtId="0" fontId="11" fillId="0" borderId="13" xfId="0" applyFont="1" applyBorder="1" applyAlignment="1">
      <alignment horizontal="center" vertical="center" readingOrder="2"/>
    </xf>
    <xf numFmtId="0" fontId="11" fillId="0" borderId="41" xfId="0" applyFont="1" applyBorder="1" applyAlignment="1">
      <alignment horizontal="center" vertical="center" readingOrder="2"/>
    </xf>
    <xf numFmtId="0" fontId="4" fillId="0" borderId="33" xfId="0" applyFont="1" applyBorder="1" applyAlignment="1">
      <alignment horizontal="center" vertical="center" readingOrder="2"/>
    </xf>
    <xf numFmtId="0" fontId="4" fillId="0" borderId="37" xfId="0" applyFont="1" applyBorder="1" applyAlignment="1">
      <alignment horizontal="center" vertical="center" readingOrder="2"/>
    </xf>
    <xf numFmtId="0" fontId="4" fillId="0" borderId="84" xfId="0" applyFont="1" applyBorder="1" applyAlignment="1">
      <alignment horizontal="center" vertical="center" readingOrder="2"/>
    </xf>
    <xf numFmtId="0" fontId="4" fillId="0" borderId="86" xfId="0" applyFont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wrapText="1" readingOrder="2"/>
    </xf>
    <xf numFmtId="0" fontId="5" fillId="0" borderId="42" xfId="0" applyFont="1" applyBorder="1" applyAlignment="1">
      <alignment horizontal="center" vertical="center" wrapText="1" readingOrder="2"/>
    </xf>
    <xf numFmtId="0" fontId="4" fillId="0" borderId="77" xfId="0" applyFont="1" applyBorder="1" applyAlignment="1">
      <alignment horizontal="center" vertical="center" readingOrder="2"/>
    </xf>
    <xf numFmtId="0" fontId="4" fillId="0" borderId="12" xfId="0" applyFont="1" applyBorder="1" applyAlignment="1">
      <alignment horizontal="center" vertical="center" readingOrder="2"/>
    </xf>
    <xf numFmtId="0" fontId="4" fillId="0" borderId="93" xfId="0" applyFont="1" applyBorder="1" applyAlignment="1">
      <alignment horizontal="center" vertical="center" readingOrder="2"/>
    </xf>
    <xf numFmtId="0" fontId="4" fillId="0" borderId="58" xfId="0" applyFont="1" applyBorder="1" applyAlignment="1">
      <alignment horizontal="center" vertical="center" readingOrder="2"/>
    </xf>
    <xf numFmtId="0" fontId="4" fillId="0" borderId="71" xfId="0" applyFont="1" applyBorder="1" applyAlignment="1">
      <alignment horizontal="center" vertical="center" readingOrder="2"/>
    </xf>
    <xf numFmtId="0" fontId="4" fillId="0" borderId="94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readingOrder="2"/>
    </xf>
    <xf numFmtId="0" fontId="5" fillId="0" borderId="9" xfId="0" applyFont="1" applyBorder="1" applyAlignment="1">
      <alignment horizontal="center" readingOrder="2"/>
    </xf>
    <xf numFmtId="0" fontId="5" fillId="0" borderId="15" xfId="0" applyFont="1" applyBorder="1" applyAlignment="1">
      <alignment horizontal="center" readingOrder="2"/>
    </xf>
    <xf numFmtId="0" fontId="5" fillId="0" borderId="10" xfId="0" applyFont="1" applyBorder="1" applyAlignment="1">
      <alignment horizontal="center" readingOrder="2"/>
    </xf>
    <xf numFmtId="0" fontId="5" fillId="0" borderId="9" xfId="0" applyFont="1" applyBorder="1" applyAlignment="1">
      <alignment horizontal="right" vertical="center" wrapText="1" indent="1" readingOrder="2"/>
    </xf>
    <xf numFmtId="0" fontId="5" fillId="0" borderId="42" xfId="0" applyFont="1" applyBorder="1" applyAlignment="1">
      <alignment horizontal="right" vertical="center" wrapText="1" indent="1" readingOrder="2"/>
    </xf>
    <xf numFmtId="0" fontId="5" fillId="0" borderId="0" xfId="0" applyFont="1" applyAlignment="1">
      <alignment horizontal="right" vertical="center" indent="1" readingOrder="2"/>
    </xf>
    <xf numFmtId="0" fontId="5" fillId="0" borderId="24" xfId="0" applyFont="1" applyBorder="1" applyAlignment="1">
      <alignment horizontal="right" vertical="center" indent="1" readingOrder="2"/>
    </xf>
    <xf numFmtId="0" fontId="5" fillId="0" borderId="32" xfId="0" applyFont="1" applyBorder="1" applyAlignment="1">
      <alignment horizontal="center" vertical="center" wrapText="1" readingOrder="2"/>
    </xf>
    <xf numFmtId="0" fontId="5" fillId="0" borderId="41" xfId="0" applyFont="1" applyBorder="1" applyAlignment="1">
      <alignment horizontal="center" vertical="center" wrapText="1" readingOrder="2"/>
    </xf>
    <xf numFmtId="0" fontId="5" fillId="0" borderId="82" xfId="0" applyFont="1" applyBorder="1" applyAlignment="1">
      <alignment horizontal="center" vertical="center" wrapText="1" readingOrder="2"/>
    </xf>
    <xf numFmtId="0" fontId="5" fillId="0" borderId="107" xfId="0" applyFont="1" applyBorder="1" applyAlignment="1">
      <alignment horizontal="center" vertical="center" wrapText="1" readingOrder="2"/>
    </xf>
    <xf numFmtId="0" fontId="5" fillId="0" borderId="69" xfId="0" applyFont="1" applyBorder="1" applyAlignment="1">
      <alignment horizontal="center" vertical="center" wrapText="1" readingOrder="2"/>
    </xf>
    <xf numFmtId="0" fontId="5" fillId="0" borderId="78" xfId="0" applyFont="1" applyBorder="1" applyAlignment="1">
      <alignment horizontal="center" vertical="center" wrapText="1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readingOrder="2"/>
    </xf>
    <xf numFmtId="0" fontId="5" fillId="0" borderId="41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left" vertical="center" readingOrder="2"/>
    </xf>
    <xf numFmtId="0" fontId="3" fillId="0" borderId="0" xfId="1" applyFont="1" applyAlignment="1">
      <alignment horizontal="right"/>
    </xf>
    <xf numFmtId="0" fontId="4" fillId="0" borderId="53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8" xfId="1" applyFont="1" applyBorder="1" applyAlignment="1">
      <alignment horizontal="right" vertical="center" indent="1"/>
    </xf>
    <xf numFmtId="0" fontId="4" fillId="0" borderId="17" xfId="1" applyFont="1" applyBorder="1" applyAlignment="1">
      <alignment horizontal="right" vertical="center" indent="1"/>
    </xf>
    <xf numFmtId="0" fontId="4" fillId="0" borderId="7" xfId="1" applyFont="1" applyBorder="1" applyAlignment="1">
      <alignment horizontal="right" vertical="center" indent="1"/>
    </xf>
    <xf numFmtId="0" fontId="4" fillId="0" borderId="6" xfId="1" applyFont="1" applyBorder="1" applyAlignment="1">
      <alignment horizontal="right" vertical="center" indent="1"/>
    </xf>
    <xf numFmtId="0" fontId="4" fillId="0" borderId="27" xfId="1" applyFont="1" applyBorder="1" applyAlignment="1">
      <alignment vertical="center"/>
    </xf>
    <xf numFmtId="0" fontId="4" fillId="0" borderId="34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28" xfId="1" applyFont="1" applyBorder="1" applyAlignment="1">
      <alignment horizontal="right" vertical="center"/>
    </xf>
    <xf numFmtId="0" fontId="4" fillId="0" borderId="37" xfId="1" applyFont="1" applyBorder="1" applyAlignment="1">
      <alignment horizontal="right" vertical="center"/>
    </xf>
    <xf numFmtId="0" fontId="4" fillId="0" borderId="70" xfId="1" applyFont="1" applyBorder="1" applyAlignment="1">
      <alignment horizontal="right" vertical="center"/>
    </xf>
    <xf numFmtId="0" fontId="4" fillId="0" borderId="86" xfId="1" applyFont="1" applyBorder="1" applyAlignment="1">
      <alignment horizontal="right" vertical="center"/>
    </xf>
    <xf numFmtId="0" fontId="4" fillId="0" borderId="50" xfId="1" applyFont="1" applyBorder="1" applyAlignment="1">
      <alignment horizontal="right" vertical="top" wrapText="1"/>
    </xf>
    <xf numFmtId="0" fontId="4" fillId="0" borderId="33" xfId="1" applyFont="1" applyBorder="1" applyAlignment="1">
      <alignment horizontal="right" vertical="top" wrapText="1"/>
    </xf>
    <xf numFmtId="0" fontId="4" fillId="0" borderId="37" xfId="1" applyFont="1" applyBorder="1" applyAlignment="1">
      <alignment horizontal="right" vertical="top" wrapText="1"/>
    </xf>
    <xf numFmtId="0" fontId="4" fillId="0" borderId="51" xfId="1" applyFont="1" applyBorder="1" applyAlignment="1">
      <alignment horizontal="center" vertical="center"/>
    </xf>
    <xf numFmtId="0" fontId="4" fillId="0" borderId="8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84" xfId="1" applyFont="1" applyBorder="1" applyAlignment="1">
      <alignment horizontal="right" vertical="center"/>
    </xf>
    <xf numFmtId="0" fontId="4" fillId="0" borderId="28" xfId="1" applyFont="1" applyBorder="1" applyAlignment="1">
      <alignment vertical="center"/>
    </xf>
    <xf numFmtId="0" fontId="4" fillId="0" borderId="37" xfId="1" applyFont="1" applyBorder="1" applyAlignment="1">
      <alignment vertical="center"/>
    </xf>
    <xf numFmtId="0" fontId="4" fillId="0" borderId="70" xfId="1" applyFont="1" applyBorder="1" applyAlignment="1">
      <alignment vertical="center"/>
    </xf>
    <xf numFmtId="0" fontId="4" fillId="0" borderId="86" xfId="1" applyFont="1" applyBorder="1" applyAlignment="1">
      <alignment vertical="center"/>
    </xf>
    <xf numFmtId="0" fontId="14" fillId="0" borderId="3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41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30" xfId="1" applyFont="1" applyBorder="1" applyAlignment="1">
      <alignment horizontal="right" vertical="center" wrapText="1" indent="1"/>
    </xf>
    <xf numFmtId="0" fontId="4" fillId="0" borderId="31" xfId="1" applyFont="1" applyBorder="1" applyAlignment="1">
      <alignment horizontal="right" vertical="center" wrapText="1" indent="1"/>
    </xf>
    <xf numFmtId="0" fontId="5" fillId="0" borderId="31" xfId="1" applyFont="1" applyBorder="1" applyAlignment="1">
      <alignment horizontal="center" vertical="center" wrapText="1" readingOrder="2"/>
    </xf>
    <xf numFmtId="0" fontId="5" fillId="0" borderId="59" xfId="1" applyFont="1" applyBorder="1" applyAlignment="1">
      <alignment horizontal="center" vertical="center" wrapText="1" readingOrder="2"/>
    </xf>
    <xf numFmtId="0" fontId="4" fillId="0" borderId="25" xfId="1" applyFont="1" applyBorder="1" applyAlignment="1">
      <alignment horizontal="right" vertical="center" indent="1"/>
    </xf>
    <xf numFmtId="0" fontId="4" fillId="0" borderId="76" xfId="1" applyFont="1" applyBorder="1" applyAlignment="1">
      <alignment horizontal="right" vertical="center" indent="1"/>
    </xf>
    <xf numFmtId="0" fontId="5" fillId="0" borderId="76" xfId="1" applyFont="1" applyBorder="1" applyAlignment="1">
      <alignment horizontal="center" vertical="center" wrapText="1"/>
    </xf>
    <xf numFmtId="0" fontId="5" fillId="0" borderId="99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9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right" vertical="center" indent="1"/>
    </xf>
    <xf numFmtId="0" fontId="4" fillId="0" borderId="3" xfId="1" applyFont="1" applyBorder="1" applyAlignment="1">
      <alignment horizontal="right" vertical="center" indent="1"/>
    </xf>
    <xf numFmtId="0" fontId="3" fillId="0" borderId="1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right" vertical="center" wrapText="1" indent="1"/>
    </xf>
    <xf numFmtId="0" fontId="4" fillId="0" borderId="13" xfId="0" applyFont="1" applyBorder="1" applyAlignment="1">
      <alignment horizontal="right" vertical="center" wrapText="1" indent="1"/>
    </xf>
    <xf numFmtId="0" fontId="4" fillId="0" borderId="41" xfId="0" applyFont="1" applyBorder="1" applyAlignment="1">
      <alignment horizontal="right" vertical="center" wrapText="1" indent="1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4" fillId="0" borderId="43" xfId="0" applyFont="1" applyBorder="1" applyAlignment="1">
      <alignment horizontal="right" vertical="center" indent="1"/>
    </xf>
    <xf numFmtId="0" fontId="4" fillId="0" borderId="10" xfId="0" applyFont="1" applyBorder="1" applyAlignment="1">
      <alignment horizontal="right" vertical="center" indent="1"/>
    </xf>
    <xf numFmtId="0" fontId="4" fillId="0" borderId="24" xfId="0" applyFont="1" applyBorder="1" applyAlignment="1">
      <alignment horizontal="righ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shrinkToFit="1"/>
    </xf>
    <xf numFmtId="0" fontId="14" fillId="0" borderId="55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55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3" fillId="0" borderId="55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14" fillId="0" borderId="1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5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11" fillId="0" borderId="57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23" xfId="0" applyFont="1" applyBorder="1" applyAlignment="1">
      <alignment horizontal="center" vertical="top" wrapText="1" readingOrder="2"/>
    </xf>
    <xf numFmtId="0" fontId="5" fillId="0" borderId="9" xfId="0" applyFont="1" applyBorder="1" applyAlignment="1">
      <alignment horizontal="center" vertical="top" wrapText="1" readingOrder="2"/>
    </xf>
    <xf numFmtId="0" fontId="5" fillId="0" borderId="42" xfId="0" applyFont="1" applyBorder="1" applyAlignment="1">
      <alignment horizontal="center" vertical="top" wrapText="1" readingOrder="2"/>
    </xf>
    <xf numFmtId="0" fontId="5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top" wrapText="1" readingOrder="2"/>
    </xf>
    <xf numFmtId="0" fontId="10" fillId="0" borderId="0" xfId="0" applyFont="1" applyAlignment="1">
      <alignment horizontal="center" vertical="top" wrapText="1" readingOrder="2"/>
    </xf>
    <xf numFmtId="0" fontId="10" fillId="0" borderId="43" xfId="0" applyFont="1" applyBorder="1" applyAlignment="1">
      <alignment horizontal="center" vertical="top" wrapText="1" readingOrder="2"/>
    </xf>
    <xf numFmtId="0" fontId="4" fillId="0" borderId="5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7" fillId="2" borderId="13" xfId="1" applyFont="1" applyFill="1" applyBorder="1" applyAlignment="1">
      <alignment horizontal="center" vertical="center" readingOrder="2"/>
    </xf>
    <xf numFmtId="0" fontId="27" fillId="2" borderId="41" xfId="1" applyFont="1" applyFill="1" applyBorder="1" applyAlignment="1">
      <alignment horizontal="center" vertical="center" readingOrder="2"/>
    </xf>
    <xf numFmtId="0" fontId="39" fillId="2" borderId="9" xfId="1" applyFont="1" applyFill="1" applyBorder="1" applyAlignment="1">
      <alignment horizontal="right" vertical="center" wrapText="1"/>
    </xf>
    <xf numFmtId="0" fontId="34" fillId="2" borderId="23" xfId="1" applyFont="1" applyFill="1" applyBorder="1" applyAlignment="1">
      <alignment horizontal="center" vertical="center" wrapText="1"/>
    </xf>
    <xf numFmtId="0" fontId="34" fillId="2" borderId="42" xfId="1" applyFont="1" applyFill="1" applyBorder="1" applyAlignment="1">
      <alignment horizontal="center" vertical="center" wrapText="1"/>
    </xf>
    <xf numFmtId="0" fontId="39" fillId="2" borderId="10" xfId="1" applyFont="1" applyFill="1" applyBorder="1" applyAlignment="1">
      <alignment horizontal="right" vertical="center" wrapText="1"/>
    </xf>
    <xf numFmtId="0" fontId="34" fillId="2" borderId="15" xfId="1" applyFont="1" applyFill="1" applyBorder="1" applyAlignment="1">
      <alignment horizontal="center" vertical="center" wrapText="1"/>
    </xf>
    <xf numFmtId="0" fontId="34" fillId="2" borderId="24" xfId="1" applyFont="1" applyFill="1" applyBorder="1" applyAlignment="1">
      <alignment horizontal="center" vertical="center" wrapText="1"/>
    </xf>
    <xf numFmtId="0" fontId="36" fillId="2" borderId="28" xfId="1" applyFont="1" applyFill="1" applyBorder="1" applyAlignment="1">
      <alignment horizontal="center" vertical="center" wrapText="1"/>
    </xf>
    <xf numFmtId="0" fontId="36" fillId="2" borderId="33" xfId="1" applyFont="1" applyFill="1" applyBorder="1" applyAlignment="1">
      <alignment horizontal="center" vertical="center" wrapText="1"/>
    </xf>
    <xf numFmtId="0" fontId="36" fillId="2" borderId="79" xfId="1" applyFont="1" applyFill="1" applyBorder="1" applyAlignment="1">
      <alignment horizontal="center" vertical="center" wrapText="1"/>
    </xf>
    <xf numFmtId="0" fontId="36" fillId="2" borderId="70" xfId="1" applyFont="1" applyFill="1" applyBorder="1" applyAlignment="1">
      <alignment horizontal="center" vertical="center" wrapText="1"/>
    </xf>
    <xf numFmtId="0" fontId="36" fillId="2" borderId="60" xfId="1" applyFont="1" applyFill="1" applyBorder="1" applyAlignment="1">
      <alignment horizontal="center" vertical="center"/>
    </xf>
    <xf numFmtId="0" fontId="36" fillId="2" borderId="81" xfId="1" applyFont="1" applyFill="1" applyBorder="1" applyAlignment="1">
      <alignment horizontal="center" vertical="center"/>
    </xf>
    <xf numFmtId="0" fontId="36" fillId="2" borderId="72" xfId="1" applyFont="1" applyFill="1" applyBorder="1" applyAlignment="1">
      <alignment horizontal="center" vertical="center"/>
    </xf>
    <xf numFmtId="0" fontId="36" fillId="2" borderId="49" xfId="1" applyFont="1" applyFill="1" applyBorder="1" applyAlignment="1">
      <alignment horizontal="center" vertical="center"/>
    </xf>
    <xf numFmtId="0" fontId="36" fillId="2" borderId="47" xfId="1" applyFont="1" applyFill="1" applyBorder="1" applyAlignment="1">
      <alignment horizontal="center" vertical="center"/>
    </xf>
    <xf numFmtId="0" fontId="36" fillId="2" borderId="52" xfId="1" applyFont="1" applyFill="1" applyBorder="1" applyAlignment="1">
      <alignment horizontal="center" vertical="center"/>
    </xf>
    <xf numFmtId="0" fontId="36" fillId="2" borderId="60" xfId="1" applyFont="1" applyFill="1" applyBorder="1" applyAlignment="1">
      <alignment horizontal="center" vertical="center" wrapText="1"/>
    </xf>
    <xf numFmtId="0" fontId="36" fillId="2" borderId="81" xfId="1" applyFont="1" applyFill="1" applyBorder="1" applyAlignment="1">
      <alignment horizontal="center" vertical="center" wrapText="1"/>
    </xf>
    <xf numFmtId="0" fontId="36" fillId="2" borderId="72" xfId="1" applyFont="1" applyFill="1" applyBorder="1" applyAlignment="1">
      <alignment horizontal="center" vertical="center" wrapText="1"/>
    </xf>
    <xf numFmtId="0" fontId="44" fillId="2" borderId="60" xfId="1" applyFont="1" applyFill="1" applyBorder="1" applyAlignment="1">
      <alignment horizontal="center" vertical="center"/>
    </xf>
    <xf numFmtId="0" fontId="44" fillId="2" borderId="81" xfId="1" applyFont="1" applyFill="1" applyBorder="1" applyAlignment="1">
      <alignment horizontal="center" vertical="center"/>
    </xf>
    <xf numFmtId="0" fontId="44" fillId="2" borderId="72" xfId="1" applyFont="1" applyFill="1" applyBorder="1" applyAlignment="1">
      <alignment horizontal="center" vertical="center"/>
    </xf>
    <xf numFmtId="0" fontId="45" fillId="2" borderId="60" xfId="1" applyFont="1" applyFill="1" applyBorder="1" applyAlignment="1">
      <alignment horizontal="center" vertical="center" wrapText="1"/>
    </xf>
    <xf numFmtId="0" fontId="45" fillId="2" borderId="72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7" fillId="2" borderId="15" xfId="0" applyFont="1" applyFill="1" applyBorder="1" applyAlignment="1">
      <alignment horizontal="center" vertical="center" readingOrder="2"/>
    </xf>
    <xf numFmtId="0" fontId="27" fillId="2" borderId="10" xfId="0" applyFont="1" applyFill="1" applyBorder="1" applyAlignment="1">
      <alignment horizontal="center" vertical="center" readingOrder="2"/>
    </xf>
    <xf numFmtId="0" fontId="34" fillId="0" borderId="32" xfId="0" applyFont="1" applyBorder="1" applyAlignment="1">
      <alignment horizontal="right" vertical="top"/>
    </xf>
    <xf numFmtId="0" fontId="34" fillId="0" borderId="13" xfId="0" applyFont="1" applyBorder="1" applyAlignment="1">
      <alignment horizontal="right" vertical="top"/>
    </xf>
    <xf numFmtId="0" fontId="34" fillId="0" borderId="41" xfId="0" applyFont="1" applyBorder="1" applyAlignment="1">
      <alignment horizontal="right" vertical="top"/>
    </xf>
    <xf numFmtId="0" fontId="37" fillId="0" borderId="27" xfId="0" applyFont="1" applyBorder="1" applyAlignment="1">
      <alignment horizontal="center"/>
    </xf>
    <xf numFmtId="0" fontId="34" fillId="2" borderId="28" xfId="0" applyFont="1" applyFill="1" applyBorder="1" applyAlignment="1">
      <alignment horizontal="center" vertical="center" wrapText="1"/>
    </xf>
    <xf numFmtId="0" fontId="34" fillId="2" borderId="70" xfId="0" applyFont="1" applyFill="1" applyBorder="1" applyAlignment="1">
      <alignment horizontal="center" vertical="center" wrapText="1"/>
    </xf>
    <xf numFmtId="0" fontId="34" fillId="2" borderId="27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6" fillId="2" borderId="46" xfId="0" applyFont="1" applyFill="1" applyBorder="1" applyAlignment="1">
      <alignment horizontal="center" vertical="center" wrapText="1"/>
    </xf>
    <xf numFmtId="0" fontId="36" fillId="2" borderId="52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right" vertical="center" wrapText="1"/>
    </xf>
    <xf numFmtId="0" fontId="39" fillId="2" borderId="10" xfId="0" applyFont="1" applyFill="1" applyBorder="1" applyAlignment="1">
      <alignment horizontal="right" vertical="center" wrapText="1"/>
    </xf>
    <xf numFmtId="0" fontId="19" fillId="0" borderId="58" xfId="1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0066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0DB69F2-6CCD-44BC-E9F5-B6DB8262CC8B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85725</xdr:colOff>
      <xdr:row>39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79D814D8-EDA7-4EC5-15EF-1DF9973C28B5}"/>
            </a:ext>
          </a:extLst>
        </xdr:cNvPr>
        <xdr:cNvSpPr>
          <a:spLocks noChangeShapeType="1"/>
        </xdr:cNvSpPr>
      </xdr:nvSpPr>
      <xdr:spPr bwMode="auto">
        <a:xfrm>
          <a:off x="13201650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A5266F47-08B3-0D17-CF48-FB68FA210CC3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9F898E59-887C-953C-D93E-710A1671F24E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85725</xdr:colOff>
      <xdr:row>39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681C3679-A7E0-E996-1E90-E7199B31E0FC}"/>
            </a:ext>
          </a:extLst>
        </xdr:cNvPr>
        <xdr:cNvSpPr>
          <a:spLocks noChangeShapeType="1"/>
        </xdr:cNvSpPr>
      </xdr:nvSpPr>
      <xdr:spPr bwMode="auto">
        <a:xfrm>
          <a:off x="13201650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7" name="Line 10">
          <a:extLst>
            <a:ext uri="{FF2B5EF4-FFF2-40B4-BE49-F238E27FC236}">
              <a16:creationId xmlns:a16="http://schemas.microsoft.com/office/drawing/2014/main" id="{F1E34BF7-88C3-B6E9-29B1-CABA15720552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525EF22C-B65C-51D5-521B-5D21409C25BF}"/>
            </a:ext>
          </a:extLst>
        </xdr:cNvPr>
        <xdr:cNvSpPr>
          <a:spLocks noChangeShapeType="1"/>
        </xdr:cNvSpPr>
      </xdr:nvSpPr>
      <xdr:spPr bwMode="auto">
        <a:xfrm>
          <a:off x="13201650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44</xdr:row>
      <xdr:rowOff>0</xdr:rowOff>
    </xdr:to>
    <xdr:sp macro="" textlink="">
      <xdr:nvSpPr>
        <xdr:cNvPr id="9" name="Line 15">
          <a:extLst>
            <a:ext uri="{FF2B5EF4-FFF2-40B4-BE49-F238E27FC236}">
              <a16:creationId xmlns:a16="http://schemas.microsoft.com/office/drawing/2014/main" id="{262789D5-23D7-ABBB-F7BB-2D687CDBD87E}"/>
            </a:ext>
          </a:extLst>
        </xdr:cNvPr>
        <xdr:cNvSpPr>
          <a:spLocks noChangeShapeType="1"/>
        </xdr:cNvSpPr>
      </xdr:nvSpPr>
      <xdr:spPr bwMode="auto">
        <a:xfrm>
          <a:off x="2514600" y="139446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44</xdr:row>
      <xdr:rowOff>0</xdr:rowOff>
    </xdr:from>
    <xdr:to>
      <xdr:col>4</xdr:col>
      <xdr:colOff>85725</xdr:colOff>
      <xdr:row>44</xdr:row>
      <xdr:rowOff>0</xdr:rowOff>
    </xdr:to>
    <xdr:sp macro="" textlink="">
      <xdr:nvSpPr>
        <xdr:cNvPr id="10" name="Line 16">
          <a:extLst>
            <a:ext uri="{FF2B5EF4-FFF2-40B4-BE49-F238E27FC236}">
              <a16:creationId xmlns:a16="http://schemas.microsoft.com/office/drawing/2014/main" id="{C85298EE-F3ED-8C80-2858-327D99E3F84B}"/>
            </a:ext>
          </a:extLst>
        </xdr:cNvPr>
        <xdr:cNvSpPr>
          <a:spLocks noChangeShapeType="1"/>
        </xdr:cNvSpPr>
      </xdr:nvSpPr>
      <xdr:spPr bwMode="auto">
        <a:xfrm>
          <a:off x="3743325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44</xdr:row>
      <xdr:rowOff>0</xdr:rowOff>
    </xdr:from>
    <xdr:to>
      <xdr:col>7</xdr:col>
      <xdr:colOff>85725</xdr:colOff>
      <xdr:row>44</xdr:row>
      <xdr:rowOff>0</xdr:rowOff>
    </xdr:to>
    <xdr:sp macro="" textlink="">
      <xdr:nvSpPr>
        <xdr:cNvPr id="11" name="Line 17">
          <a:extLst>
            <a:ext uri="{FF2B5EF4-FFF2-40B4-BE49-F238E27FC236}">
              <a16:creationId xmlns:a16="http://schemas.microsoft.com/office/drawing/2014/main" id="{96549C5D-B217-F73D-F26C-A4C31856FCE6}"/>
            </a:ext>
          </a:extLst>
        </xdr:cNvPr>
        <xdr:cNvSpPr>
          <a:spLocks noChangeShapeType="1"/>
        </xdr:cNvSpPr>
      </xdr:nvSpPr>
      <xdr:spPr bwMode="auto">
        <a:xfrm>
          <a:off x="13201650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48</xdr:row>
      <xdr:rowOff>0</xdr:rowOff>
    </xdr:from>
    <xdr:to>
      <xdr:col>4</xdr:col>
      <xdr:colOff>85725</xdr:colOff>
      <xdr:row>48</xdr:row>
      <xdr:rowOff>0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CADAA7DE-A805-D8A7-8BBF-95867346352B}"/>
            </a:ext>
          </a:extLst>
        </xdr:cNvPr>
        <xdr:cNvSpPr>
          <a:spLocks noChangeShapeType="1"/>
        </xdr:cNvSpPr>
      </xdr:nvSpPr>
      <xdr:spPr bwMode="auto">
        <a:xfrm>
          <a:off x="3743325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48</xdr:row>
      <xdr:rowOff>0</xdr:rowOff>
    </xdr:from>
    <xdr:to>
      <xdr:col>7</xdr:col>
      <xdr:colOff>85725</xdr:colOff>
      <xdr:row>48</xdr:row>
      <xdr:rowOff>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id="{96E401D8-A97C-F77B-6963-99EAFCFC55BC}"/>
            </a:ext>
          </a:extLst>
        </xdr:cNvPr>
        <xdr:cNvSpPr>
          <a:spLocks noChangeShapeType="1"/>
        </xdr:cNvSpPr>
      </xdr:nvSpPr>
      <xdr:spPr bwMode="auto">
        <a:xfrm>
          <a:off x="13201650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66EC1C7F-40F3-A5BC-E60E-C20786FBD82C}"/>
            </a:ext>
          </a:extLst>
        </xdr:cNvPr>
        <xdr:cNvSpPr>
          <a:spLocks noChangeShapeType="1"/>
        </xdr:cNvSpPr>
      </xdr:nvSpPr>
      <xdr:spPr bwMode="auto">
        <a:xfrm>
          <a:off x="13201650" y="16373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15" name="Line 35">
          <a:extLst>
            <a:ext uri="{FF2B5EF4-FFF2-40B4-BE49-F238E27FC236}">
              <a16:creationId xmlns:a16="http://schemas.microsoft.com/office/drawing/2014/main" id="{C8AEC12A-1A9D-C7A4-8F58-A082F1584086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16" name="Line 36">
          <a:extLst>
            <a:ext uri="{FF2B5EF4-FFF2-40B4-BE49-F238E27FC236}">
              <a16:creationId xmlns:a16="http://schemas.microsoft.com/office/drawing/2014/main" id="{95CDD993-6817-F825-39CD-D3A33A776F24}"/>
            </a:ext>
          </a:extLst>
        </xdr:cNvPr>
        <xdr:cNvSpPr>
          <a:spLocks noChangeShapeType="1"/>
        </xdr:cNvSpPr>
      </xdr:nvSpPr>
      <xdr:spPr bwMode="auto">
        <a:xfrm>
          <a:off x="13201650" y="1723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56</xdr:row>
      <xdr:rowOff>0</xdr:rowOff>
    </xdr:from>
    <xdr:to>
      <xdr:col>4</xdr:col>
      <xdr:colOff>85725</xdr:colOff>
      <xdr:row>56</xdr:row>
      <xdr:rowOff>0</xdr:rowOff>
    </xdr:to>
    <xdr:sp macro="" textlink="">
      <xdr:nvSpPr>
        <xdr:cNvPr id="17" name="Line 39">
          <a:extLst>
            <a:ext uri="{FF2B5EF4-FFF2-40B4-BE49-F238E27FC236}">
              <a16:creationId xmlns:a16="http://schemas.microsoft.com/office/drawing/2014/main" id="{75ED4556-8407-29EF-030C-283804968AA9}"/>
            </a:ext>
          </a:extLst>
        </xdr:cNvPr>
        <xdr:cNvSpPr>
          <a:spLocks noChangeShapeType="1"/>
        </xdr:cNvSpPr>
      </xdr:nvSpPr>
      <xdr:spPr bwMode="auto">
        <a:xfrm>
          <a:off x="3743325" y="17059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60</xdr:row>
      <xdr:rowOff>0</xdr:rowOff>
    </xdr:from>
    <xdr:to>
      <xdr:col>7</xdr:col>
      <xdr:colOff>85725</xdr:colOff>
      <xdr:row>60</xdr:row>
      <xdr:rowOff>0</xdr:rowOff>
    </xdr:to>
    <xdr:sp macro="" textlink="">
      <xdr:nvSpPr>
        <xdr:cNvPr id="18" name="Line 40">
          <a:extLst>
            <a:ext uri="{FF2B5EF4-FFF2-40B4-BE49-F238E27FC236}">
              <a16:creationId xmlns:a16="http://schemas.microsoft.com/office/drawing/2014/main" id="{40E09A26-FDB9-F554-F2E2-9507858DD77C}"/>
            </a:ext>
          </a:extLst>
        </xdr:cNvPr>
        <xdr:cNvSpPr>
          <a:spLocks noChangeShapeType="1"/>
        </xdr:cNvSpPr>
      </xdr:nvSpPr>
      <xdr:spPr bwMode="auto">
        <a:xfrm>
          <a:off x="13201650" y="17745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19" name="Line 47">
          <a:extLst>
            <a:ext uri="{FF2B5EF4-FFF2-40B4-BE49-F238E27FC236}">
              <a16:creationId xmlns:a16="http://schemas.microsoft.com/office/drawing/2014/main" id="{860DA836-F528-8F41-F2C6-B14436D1955E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20" name="Line 49">
          <a:extLst>
            <a:ext uri="{FF2B5EF4-FFF2-40B4-BE49-F238E27FC236}">
              <a16:creationId xmlns:a16="http://schemas.microsoft.com/office/drawing/2014/main" id="{FC732015-639F-B387-47C3-290A865C7B80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44</xdr:row>
      <xdr:rowOff>0</xdr:rowOff>
    </xdr:from>
    <xdr:to>
      <xdr:col>4</xdr:col>
      <xdr:colOff>85725</xdr:colOff>
      <xdr:row>44</xdr:row>
      <xdr:rowOff>0</xdr:rowOff>
    </xdr:to>
    <xdr:sp macro="" textlink="">
      <xdr:nvSpPr>
        <xdr:cNvPr id="21" name="Line 50">
          <a:extLst>
            <a:ext uri="{FF2B5EF4-FFF2-40B4-BE49-F238E27FC236}">
              <a16:creationId xmlns:a16="http://schemas.microsoft.com/office/drawing/2014/main" id="{6E1FE6A0-A831-344B-ABF9-30CE73D651BF}"/>
            </a:ext>
          </a:extLst>
        </xdr:cNvPr>
        <xdr:cNvSpPr>
          <a:spLocks noChangeShapeType="1"/>
        </xdr:cNvSpPr>
      </xdr:nvSpPr>
      <xdr:spPr bwMode="auto">
        <a:xfrm>
          <a:off x="3743325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48</xdr:row>
      <xdr:rowOff>0</xdr:rowOff>
    </xdr:from>
    <xdr:to>
      <xdr:col>4</xdr:col>
      <xdr:colOff>85725</xdr:colOff>
      <xdr:row>48</xdr:row>
      <xdr:rowOff>0</xdr:rowOff>
    </xdr:to>
    <xdr:sp macro="" textlink="">
      <xdr:nvSpPr>
        <xdr:cNvPr id="22" name="Line 52">
          <a:extLst>
            <a:ext uri="{FF2B5EF4-FFF2-40B4-BE49-F238E27FC236}">
              <a16:creationId xmlns:a16="http://schemas.microsoft.com/office/drawing/2014/main" id="{7A7E1167-2D85-53A5-18BF-4377D8D5F393}"/>
            </a:ext>
          </a:extLst>
        </xdr:cNvPr>
        <xdr:cNvSpPr>
          <a:spLocks noChangeShapeType="1"/>
        </xdr:cNvSpPr>
      </xdr:nvSpPr>
      <xdr:spPr bwMode="auto">
        <a:xfrm>
          <a:off x="3743325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23" name="Line 57">
          <a:extLst>
            <a:ext uri="{FF2B5EF4-FFF2-40B4-BE49-F238E27FC236}">
              <a16:creationId xmlns:a16="http://schemas.microsoft.com/office/drawing/2014/main" id="{E0F959F1-ABB1-CA00-BE60-1AC318E9E4AA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56</xdr:row>
      <xdr:rowOff>0</xdr:rowOff>
    </xdr:from>
    <xdr:to>
      <xdr:col>4</xdr:col>
      <xdr:colOff>85725</xdr:colOff>
      <xdr:row>56</xdr:row>
      <xdr:rowOff>0</xdr:rowOff>
    </xdr:to>
    <xdr:sp macro="" textlink="">
      <xdr:nvSpPr>
        <xdr:cNvPr id="24" name="Line 58">
          <a:extLst>
            <a:ext uri="{FF2B5EF4-FFF2-40B4-BE49-F238E27FC236}">
              <a16:creationId xmlns:a16="http://schemas.microsoft.com/office/drawing/2014/main" id="{853484D6-B9EE-FBC4-05B5-EBE6557CBD95}"/>
            </a:ext>
          </a:extLst>
        </xdr:cNvPr>
        <xdr:cNvSpPr>
          <a:spLocks noChangeShapeType="1"/>
        </xdr:cNvSpPr>
      </xdr:nvSpPr>
      <xdr:spPr bwMode="auto">
        <a:xfrm>
          <a:off x="3743325" y="17059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25" name="Line 59">
          <a:extLst>
            <a:ext uri="{FF2B5EF4-FFF2-40B4-BE49-F238E27FC236}">
              <a16:creationId xmlns:a16="http://schemas.microsoft.com/office/drawing/2014/main" id="{053DE6C7-CCEA-40D3-B889-7C84058DE48E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26" name="Line 63">
          <a:extLst>
            <a:ext uri="{FF2B5EF4-FFF2-40B4-BE49-F238E27FC236}">
              <a16:creationId xmlns:a16="http://schemas.microsoft.com/office/drawing/2014/main" id="{0707E13C-48CF-481B-711B-7158B04D5EED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27" name="Line 65">
          <a:extLst>
            <a:ext uri="{FF2B5EF4-FFF2-40B4-BE49-F238E27FC236}">
              <a16:creationId xmlns:a16="http://schemas.microsoft.com/office/drawing/2014/main" id="{5D696EAD-F9E5-DE4C-5C22-2838B81C0C47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28" name="Line 66">
          <a:extLst>
            <a:ext uri="{FF2B5EF4-FFF2-40B4-BE49-F238E27FC236}">
              <a16:creationId xmlns:a16="http://schemas.microsoft.com/office/drawing/2014/main" id="{FEAFF753-B373-10B8-1FBA-8551AF5AB9F3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39</xdr:row>
      <xdr:rowOff>0</xdr:rowOff>
    </xdr:from>
    <xdr:to>
      <xdr:col>4</xdr:col>
      <xdr:colOff>85725</xdr:colOff>
      <xdr:row>39</xdr:row>
      <xdr:rowOff>0</xdr:rowOff>
    </xdr:to>
    <xdr:sp macro="" textlink="">
      <xdr:nvSpPr>
        <xdr:cNvPr id="29" name="Line 67">
          <a:extLst>
            <a:ext uri="{FF2B5EF4-FFF2-40B4-BE49-F238E27FC236}">
              <a16:creationId xmlns:a16="http://schemas.microsoft.com/office/drawing/2014/main" id="{775CE619-D12D-1FD9-76BE-769D75B0E81A}"/>
            </a:ext>
          </a:extLst>
        </xdr:cNvPr>
        <xdr:cNvSpPr>
          <a:spLocks noChangeShapeType="1"/>
        </xdr:cNvSpPr>
      </xdr:nvSpPr>
      <xdr:spPr bwMode="auto">
        <a:xfrm>
          <a:off x="3743325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0" name="Line 69">
          <a:extLst>
            <a:ext uri="{FF2B5EF4-FFF2-40B4-BE49-F238E27FC236}">
              <a16:creationId xmlns:a16="http://schemas.microsoft.com/office/drawing/2014/main" id="{5761D86D-8DA8-E5FB-93E2-9F24DD100A5E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1" name="Line 70">
          <a:extLst>
            <a:ext uri="{FF2B5EF4-FFF2-40B4-BE49-F238E27FC236}">
              <a16:creationId xmlns:a16="http://schemas.microsoft.com/office/drawing/2014/main" id="{199032DC-0C51-6439-C21E-A86958010803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2" name="Line 71">
          <a:extLst>
            <a:ext uri="{FF2B5EF4-FFF2-40B4-BE49-F238E27FC236}">
              <a16:creationId xmlns:a16="http://schemas.microsoft.com/office/drawing/2014/main" id="{B8174225-B2CC-2783-2FF7-4715DD5A5CFA}"/>
            </a:ext>
          </a:extLst>
        </xdr:cNvPr>
        <xdr:cNvSpPr>
          <a:spLocks noChangeShapeType="1"/>
        </xdr:cNvSpPr>
      </xdr:nvSpPr>
      <xdr:spPr bwMode="auto">
        <a:xfrm>
          <a:off x="3743325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44</xdr:row>
      <xdr:rowOff>0</xdr:rowOff>
    </xdr:from>
    <xdr:to>
      <xdr:col>4</xdr:col>
      <xdr:colOff>85725</xdr:colOff>
      <xdr:row>44</xdr:row>
      <xdr:rowOff>0</xdr:rowOff>
    </xdr:to>
    <xdr:sp macro="" textlink="">
      <xdr:nvSpPr>
        <xdr:cNvPr id="33" name="Line 73">
          <a:extLst>
            <a:ext uri="{FF2B5EF4-FFF2-40B4-BE49-F238E27FC236}">
              <a16:creationId xmlns:a16="http://schemas.microsoft.com/office/drawing/2014/main" id="{EA12BF1B-33B6-47EC-2646-1D462D1EF1A9}"/>
            </a:ext>
          </a:extLst>
        </xdr:cNvPr>
        <xdr:cNvSpPr>
          <a:spLocks noChangeShapeType="1"/>
        </xdr:cNvSpPr>
      </xdr:nvSpPr>
      <xdr:spPr bwMode="auto">
        <a:xfrm>
          <a:off x="3743325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44</xdr:row>
      <xdr:rowOff>0</xdr:rowOff>
    </xdr:from>
    <xdr:to>
      <xdr:col>4</xdr:col>
      <xdr:colOff>85725</xdr:colOff>
      <xdr:row>44</xdr:row>
      <xdr:rowOff>0</xdr:rowOff>
    </xdr:to>
    <xdr:sp macro="" textlink="">
      <xdr:nvSpPr>
        <xdr:cNvPr id="34" name="Line 74">
          <a:extLst>
            <a:ext uri="{FF2B5EF4-FFF2-40B4-BE49-F238E27FC236}">
              <a16:creationId xmlns:a16="http://schemas.microsoft.com/office/drawing/2014/main" id="{6484CBE7-0A62-5268-EFA1-D6A2A018AEC3}"/>
            </a:ext>
          </a:extLst>
        </xdr:cNvPr>
        <xdr:cNvSpPr>
          <a:spLocks noChangeShapeType="1"/>
        </xdr:cNvSpPr>
      </xdr:nvSpPr>
      <xdr:spPr bwMode="auto">
        <a:xfrm>
          <a:off x="3743325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44</xdr:row>
      <xdr:rowOff>0</xdr:rowOff>
    </xdr:from>
    <xdr:to>
      <xdr:col>4</xdr:col>
      <xdr:colOff>85725</xdr:colOff>
      <xdr:row>44</xdr:row>
      <xdr:rowOff>0</xdr:rowOff>
    </xdr:to>
    <xdr:sp macro="" textlink="">
      <xdr:nvSpPr>
        <xdr:cNvPr id="35" name="Line 75">
          <a:extLst>
            <a:ext uri="{FF2B5EF4-FFF2-40B4-BE49-F238E27FC236}">
              <a16:creationId xmlns:a16="http://schemas.microsoft.com/office/drawing/2014/main" id="{862C8BCB-E4A3-E117-1E7E-BBE1147F3958}"/>
            </a:ext>
          </a:extLst>
        </xdr:cNvPr>
        <xdr:cNvSpPr>
          <a:spLocks noChangeShapeType="1"/>
        </xdr:cNvSpPr>
      </xdr:nvSpPr>
      <xdr:spPr bwMode="auto">
        <a:xfrm>
          <a:off x="3743325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48</xdr:row>
      <xdr:rowOff>0</xdr:rowOff>
    </xdr:from>
    <xdr:to>
      <xdr:col>4</xdr:col>
      <xdr:colOff>85725</xdr:colOff>
      <xdr:row>48</xdr:row>
      <xdr:rowOff>0</xdr:rowOff>
    </xdr:to>
    <xdr:sp macro="" textlink="">
      <xdr:nvSpPr>
        <xdr:cNvPr id="36" name="Line 77">
          <a:extLst>
            <a:ext uri="{FF2B5EF4-FFF2-40B4-BE49-F238E27FC236}">
              <a16:creationId xmlns:a16="http://schemas.microsoft.com/office/drawing/2014/main" id="{2B081C30-E6DC-5B49-4453-EF5389B899E0}"/>
            </a:ext>
          </a:extLst>
        </xdr:cNvPr>
        <xdr:cNvSpPr>
          <a:spLocks noChangeShapeType="1"/>
        </xdr:cNvSpPr>
      </xdr:nvSpPr>
      <xdr:spPr bwMode="auto">
        <a:xfrm>
          <a:off x="3743325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48</xdr:row>
      <xdr:rowOff>0</xdr:rowOff>
    </xdr:from>
    <xdr:to>
      <xdr:col>4</xdr:col>
      <xdr:colOff>85725</xdr:colOff>
      <xdr:row>48</xdr:row>
      <xdr:rowOff>0</xdr:rowOff>
    </xdr:to>
    <xdr:sp macro="" textlink="">
      <xdr:nvSpPr>
        <xdr:cNvPr id="37" name="Line 78">
          <a:extLst>
            <a:ext uri="{FF2B5EF4-FFF2-40B4-BE49-F238E27FC236}">
              <a16:creationId xmlns:a16="http://schemas.microsoft.com/office/drawing/2014/main" id="{06C226F6-B118-A448-3FDD-46D8EF1C7422}"/>
            </a:ext>
          </a:extLst>
        </xdr:cNvPr>
        <xdr:cNvSpPr>
          <a:spLocks noChangeShapeType="1"/>
        </xdr:cNvSpPr>
      </xdr:nvSpPr>
      <xdr:spPr bwMode="auto">
        <a:xfrm>
          <a:off x="3743325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48</xdr:row>
      <xdr:rowOff>0</xdr:rowOff>
    </xdr:from>
    <xdr:to>
      <xdr:col>4</xdr:col>
      <xdr:colOff>85725</xdr:colOff>
      <xdr:row>48</xdr:row>
      <xdr:rowOff>0</xdr:rowOff>
    </xdr:to>
    <xdr:sp macro="" textlink="">
      <xdr:nvSpPr>
        <xdr:cNvPr id="38" name="Line 79">
          <a:extLst>
            <a:ext uri="{FF2B5EF4-FFF2-40B4-BE49-F238E27FC236}">
              <a16:creationId xmlns:a16="http://schemas.microsoft.com/office/drawing/2014/main" id="{440BAC12-4611-420C-3C0D-6BFE7B61EDF4}"/>
            </a:ext>
          </a:extLst>
        </xdr:cNvPr>
        <xdr:cNvSpPr>
          <a:spLocks noChangeShapeType="1"/>
        </xdr:cNvSpPr>
      </xdr:nvSpPr>
      <xdr:spPr bwMode="auto">
        <a:xfrm>
          <a:off x="3743325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85725</xdr:colOff>
      <xdr:row>39</xdr:row>
      <xdr:rowOff>0</xdr:rowOff>
    </xdr:to>
    <xdr:sp macro="" textlink="">
      <xdr:nvSpPr>
        <xdr:cNvPr id="39" name="Line 85">
          <a:extLst>
            <a:ext uri="{FF2B5EF4-FFF2-40B4-BE49-F238E27FC236}">
              <a16:creationId xmlns:a16="http://schemas.microsoft.com/office/drawing/2014/main" id="{37D83091-141D-B41E-5FC4-47DC6CFB7DBD}"/>
            </a:ext>
          </a:extLst>
        </xdr:cNvPr>
        <xdr:cNvSpPr>
          <a:spLocks noChangeShapeType="1"/>
        </xdr:cNvSpPr>
      </xdr:nvSpPr>
      <xdr:spPr bwMode="auto">
        <a:xfrm>
          <a:off x="13201650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85725</xdr:colOff>
      <xdr:row>39</xdr:row>
      <xdr:rowOff>0</xdr:rowOff>
    </xdr:to>
    <xdr:sp macro="" textlink="">
      <xdr:nvSpPr>
        <xdr:cNvPr id="40" name="Line 86">
          <a:extLst>
            <a:ext uri="{FF2B5EF4-FFF2-40B4-BE49-F238E27FC236}">
              <a16:creationId xmlns:a16="http://schemas.microsoft.com/office/drawing/2014/main" id="{47A58144-0797-189E-5434-D5A02C56BCE3}"/>
            </a:ext>
          </a:extLst>
        </xdr:cNvPr>
        <xdr:cNvSpPr>
          <a:spLocks noChangeShapeType="1"/>
        </xdr:cNvSpPr>
      </xdr:nvSpPr>
      <xdr:spPr bwMode="auto">
        <a:xfrm>
          <a:off x="13201650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85725</xdr:colOff>
      <xdr:row>39</xdr:row>
      <xdr:rowOff>0</xdr:rowOff>
    </xdr:to>
    <xdr:sp macro="" textlink="">
      <xdr:nvSpPr>
        <xdr:cNvPr id="41" name="Line 87">
          <a:extLst>
            <a:ext uri="{FF2B5EF4-FFF2-40B4-BE49-F238E27FC236}">
              <a16:creationId xmlns:a16="http://schemas.microsoft.com/office/drawing/2014/main" id="{DAA8A138-FEA4-9499-0FE1-2908D0E98493}"/>
            </a:ext>
          </a:extLst>
        </xdr:cNvPr>
        <xdr:cNvSpPr>
          <a:spLocks noChangeShapeType="1"/>
        </xdr:cNvSpPr>
      </xdr:nvSpPr>
      <xdr:spPr bwMode="auto">
        <a:xfrm>
          <a:off x="13201650" y="11572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2" name="Line 89">
          <a:extLst>
            <a:ext uri="{FF2B5EF4-FFF2-40B4-BE49-F238E27FC236}">
              <a16:creationId xmlns:a16="http://schemas.microsoft.com/office/drawing/2014/main" id="{6E14C10F-36E6-45A3-5068-4EC1540FE8B7}"/>
            </a:ext>
          </a:extLst>
        </xdr:cNvPr>
        <xdr:cNvSpPr>
          <a:spLocks noChangeShapeType="1"/>
        </xdr:cNvSpPr>
      </xdr:nvSpPr>
      <xdr:spPr bwMode="auto">
        <a:xfrm>
          <a:off x="13201650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3" name="Line 90">
          <a:extLst>
            <a:ext uri="{FF2B5EF4-FFF2-40B4-BE49-F238E27FC236}">
              <a16:creationId xmlns:a16="http://schemas.microsoft.com/office/drawing/2014/main" id="{D036B331-0826-77FB-DA91-9469E104B9FE}"/>
            </a:ext>
          </a:extLst>
        </xdr:cNvPr>
        <xdr:cNvSpPr>
          <a:spLocks noChangeShapeType="1"/>
        </xdr:cNvSpPr>
      </xdr:nvSpPr>
      <xdr:spPr bwMode="auto">
        <a:xfrm>
          <a:off x="13201650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4" name="Line 91">
          <a:extLst>
            <a:ext uri="{FF2B5EF4-FFF2-40B4-BE49-F238E27FC236}">
              <a16:creationId xmlns:a16="http://schemas.microsoft.com/office/drawing/2014/main" id="{1D393F97-0C25-2FC4-3D6A-B65982D1116B}"/>
            </a:ext>
          </a:extLst>
        </xdr:cNvPr>
        <xdr:cNvSpPr>
          <a:spLocks noChangeShapeType="1"/>
        </xdr:cNvSpPr>
      </xdr:nvSpPr>
      <xdr:spPr bwMode="auto">
        <a:xfrm>
          <a:off x="13201650" y="805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44</xdr:row>
      <xdr:rowOff>0</xdr:rowOff>
    </xdr:from>
    <xdr:to>
      <xdr:col>7</xdr:col>
      <xdr:colOff>85725</xdr:colOff>
      <xdr:row>44</xdr:row>
      <xdr:rowOff>0</xdr:rowOff>
    </xdr:to>
    <xdr:sp macro="" textlink="">
      <xdr:nvSpPr>
        <xdr:cNvPr id="45" name="Line 93">
          <a:extLst>
            <a:ext uri="{FF2B5EF4-FFF2-40B4-BE49-F238E27FC236}">
              <a16:creationId xmlns:a16="http://schemas.microsoft.com/office/drawing/2014/main" id="{196C0719-F104-A8FD-CF5C-CDCABB78EE9A}"/>
            </a:ext>
          </a:extLst>
        </xdr:cNvPr>
        <xdr:cNvSpPr>
          <a:spLocks noChangeShapeType="1"/>
        </xdr:cNvSpPr>
      </xdr:nvSpPr>
      <xdr:spPr bwMode="auto">
        <a:xfrm>
          <a:off x="13201650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44</xdr:row>
      <xdr:rowOff>0</xdr:rowOff>
    </xdr:from>
    <xdr:to>
      <xdr:col>7</xdr:col>
      <xdr:colOff>85725</xdr:colOff>
      <xdr:row>44</xdr:row>
      <xdr:rowOff>0</xdr:rowOff>
    </xdr:to>
    <xdr:sp macro="" textlink="">
      <xdr:nvSpPr>
        <xdr:cNvPr id="46" name="Line 94">
          <a:extLst>
            <a:ext uri="{FF2B5EF4-FFF2-40B4-BE49-F238E27FC236}">
              <a16:creationId xmlns:a16="http://schemas.microsoft.com/office/drawing/2014/main" id="{7F3D88E3-1FB5-E26E-4E69-9ADE2A2A0E88}"/>
            </a:ext>
          </a:extLst>
        </xdr:cNvPr>
        <xdr:cNvSpPr>
          <a:spLocks noChangeShapeType="1"/>
        </xdr:cNvSpPr>
      </xdr:nvSpPr>
      <xdr:spPr bwMode="auto">
        <a:xfrm>
          <a:off x="13201650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44</xdr:row>
      <xdr:rowOff>0</xdr:rowOff>
    </xdr:from>
    <xdr:to>
      <xdr:col>7</xdr:col>
      <xdr:colOff>85725</xdr:colOff>
      <xdr:row>44</xdr:row>
      <xdr:rowOff>0</xdr:rowOff>
    </xdr:to>
    <xdr:sp macro="" textlink="">
      <xdr:nvSpPr>
        <xdr:cNvPr id="47" name="Line 95">
          <a:extLst>
            <a:ext uri="{FF2B5EF4-FFF2-40B4-BE49-F238E27FC236}">
              <a16:creationId xmlns:a16="http://schemas.microsoft.com/office/drawing/2014/main" id="{F8F65B80-3FB9-5156-1378-642F539CF300}"/>
            </a:ext>
          </a:extLst>
        </xdr:cNvPr>
        <xdr:cNvSpPr>
          <a:spLocks noChangeShapeType="1"/>
        </xdr:cNvSpPr>
      </xdr:nvSpPr>
      <xdr:spPr bwMode="auto">
        <a:xfrm>
          <a:off x="13201650" y="13944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48</xdr:row>
      <xdr:rowOff>0</xdr:rowOff>
    </xdr:from>
    <xdr:to>
      <xdr:col>7</xdr:col>
      <xdr:colOff>85725</xdr:colOff>
      <xdr:row>48</xdr:row>
      <xdr:rowOff>0</xdr:rowOff>
    </xdr:to>
    <xdr:sp macro="" textlink="">
      <xdr:nvSpPr>
        <xdr:cNvPr id="48" name="Line 97">
          <a:extLst>
            <a:ext uri="{FF2B5EF4-FFF2-40B4-BE49-F238E27FC236}">
              <a16:creationId xmlns:a16="http://schemas.microsoft.com/office/drawing/2014/main" id="{4A6CE1D6-F851-F8AC-DA77-5F646EAFAE91}"/>
            </a:ext>
          </a:extLst>
        </xdr:cNvPr>
        <xdr:cNvSpPr>
          <a:spLocks noChangeShapeType="1"/>
        </xdr:cNvSpPr>
      </xdr:nvSpPr>
      <xdr:spPr bwMode="auto">
        <a:xfrm>
          <a:off x="13201650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48</xdr:row>
      <xdr:rowOff>0</xdr:rowOff>
    </xdr:from>
    <xdr:to>
      <xdr:col>7</xdr:col>
      <xdr:colOff>85725</xdr:colOff>
      <xdr:row>48</xdr:row>
      <xdr:rowOff>0</xdr:rowOff>
    </xdr:to>
    <xdr:sp macro="" textlink="">
      <xdr:nvSpPr>
        <xdr:cNvPr id="49" name="Line 98">
          <a:extLst>
            <a:ext uri="{FF2B5EF4-FFF2-40B4-BE49-F238E27FC236}">
              <a16:creationId xmlns:a16="http://schemas.microsoft.com/office/drawing/2014/main" id="{26F605B6-022D-CDCB-D002-5DBE7B505E48}"/>
            </a:ext>
          </a:extLst>
        </xdr:cNvPr>
        <xdr:cNvSpPr>
          <a:spLocks noChangeShapeType="1"/>
        </xdr:cNvSpPr>
      </xdr:nvSpPr>
      <xdr:spPr bwMode="auto">
        <a:xfrm>
          <a:off x="13201650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48</xdr:row>
      <xdr:rowOff>0</xdr:rowOff>
    </xdr:from>
    <xdr:to>
      <xdr:col>7</xdr:col>
      <xdr:colOff>85725</xdr:colOff>
      <xdr:row>48</xdr:row>
      <xdr:rowOff>0</xdr:rowOff>
    </xdr:to>
    <xdr:sp macro="" textlink="">
      <xdr:nvSpPr>
        <xdr:cNvPr id="50" name="Line 99">
          <a:extLst>
            <a:ext uri="{FF2B5EF4-FFF2-40B4-BE49-F238E27FC236}">
              <a16:creationId xmlns:a16="http://schemas.microsoft.com/office/drawing/2014/main" id="{F08D9ABF-63B0-5004-EDC5-6F798D977F3A}"/>
            </a:ext>
          </a:extLst>
        </xdr:cNvPr>
        <xdr:cNvSpPr>
          <a:spLocks noChangeShapeType="1"/>
        </xdr:cNvSpPr>
      </xdr:nvSpPr>
      <xdr:spPr bwMode="auto">
        <a:xfrm>
          <a:off x="13201650" y="15487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51" name="Line 105">
          <a:extLst>
            <a:ext uri="{FF2B5EF4-FFF2-40B4-BE49-F238E27FC236}">
              <a16:creationId xmlns:a16="http://schemas.microsoft.com/office/drawing/2014/main" id="{14E883AD-20EA-443D-4C37-5C57CEF1B7A8}"/>
            </a:ext>
          </a:extLst>
        </xdr:cNvPr>
        <xdr:cNvSpPr>
          <a:spLocks noChangeShapeType="1"/>
        </xdr:cNvSpPr>
      </xdr:nvSpPr>
      <xdr:spPr bwMode="auto">
        <a:xfrm>
          <a:off x="13201650" y="16373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52" name="Line 106">
          <a:extLst>
            <a:ext uri="{FF2B5EF4-FFF2-40B4-BE49-F238E27FC236}">
              <a16:creationId xmlns:a16="http://schemas.microsoft.com/office/drawing/2014/main" id="{2F8F1558-ADC1-DE15-65A7-D02EA62A0F26}"/>
            </a:ext>
          </a:extLst>
        </xdr:cNvPr>
        <xdr:cNvSpPr>
          <a:spLocks noChangeShapeType="1"/>
        </xdr:cNvSpPr>
      </xdr:nvSpPr>
      <xdr:spPr bwMode="auto">
        <a:xfrm>
          <a:off x="13201650" y="16373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53" name="Line 107">
          <a:extLst>
            <a:ext uri="{FF2B5EF4-FFF2-40B4-BE49-F238E27FC236}">
              <a16:creationId xmlns:a16="http://schemas.microsoft.com/office/drawing/2014/main" id="{9A4F067A-60A6-D111-43B2-2299FE9E564C}"/>
            </a:ext>
          </a:extLst>
        </xdr:cNvPr>
        <xdr:cNvSpPr>
          <a:spLocks noChangeShapeType="1"/>
        </xdr:cNvSpPr>
      </xdr:nvSpPr>
      <xdr:spPr bwMode="auto">
        <a:xfrm>
          <a:off x="13201650" y="16373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54" name="Line 109">
          <a:extLst>
            <a:ext uri="{FF2B5EF4-FFF2-40B4-BE49-F238E27FC236}">
              <a16:creationId xmlns:a16="http://schemas.microsoft.com/office/drawing/2014/main" id="{5D2A8CC9-9987-7D20-6776-0C26B2C61C0F}"/>
            </a:ext>
          </a:extLst>
        </xdr:cNvPr>
        <xdr:cNvSpPr>
          <a:spLocks noChangeShapeType="1"/>
        </xdr:cNvSpPr>
      </xdr:nvSpPr>
      <xdr:spPr bwMode="auto">
        <a:xfrm>
          <a:off x="13201650" y="1723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55" name="Line 110">
          <a:extLst>
            <a:ext uri="{FF2B5EF4-FFF2-40B4-BE49-F238E27FC236}">
              <a16:creationId xmlns:a16="http://schemas.microsoft.com/office/drawing/2014/main" id="{A82A2949-E5C1-1A0C-4041-2460F0CC154C}"/>
            </a:ext>
          </a:extLst>
        </xdr:cNvPr>
        <xdr:cNvSpPr>
          <a:spLocks noChangeShapeType="1"/>
        </xdr:cNvSpPr>
      </xdr:nvSpPr>
      <xdr:spPr bwMode="auto">
        <a:xfrm>
          <a:off x="13201650" y="1723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56" name="Line 111">
          <a:extLst>
            <a:ext uri="{FF2B5EF4-FFF2-40B4-BE49-F238E27FC236}">
              <a16:creationId xmlns:a16="http://schemas.microsoft.com/office/drawing/2014/main" id="{E5EDB27F-7751-F4A3-9D32-5A9DE1DCD7A2}"/>
            </a:ext>
          </a:extLst>
        </xdr:cNvPr>
        <xdr:cNvSpPr>
          <a:spLocks noChangeShapeType="1"/>
        </xdr:cNvSpPr>
      </xdr:nvSpPr>
      <xdr:spPr bwMode="auto">
        <a:xfrm>
          <a:off x="13201650" y="1723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57" name="Line 113">
          <a:extLst>
            <a:ext uri="{FF2B5EF4-FFF2-40B4-BE49-F238E27FC236}">
              <a16:creationId xmlns:a16="http://schemas.microsoft.com/office/drawing/2014/main" id="{8F7519FD-5F4D-C24E-C207-300A01D2046C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58" name="Line 114">
          <a:extLst>
            <a:ext uri="{FF2B5EF4-FFF2-40B4-BE49-F238E27FC236}">
              <a16:creationId xmlns:a16="http://schemas.microsoft.com/office/drawing/2014/main" id="{48DDD24C-96DB-58C0-E101-BE2E58AF746D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53</xdr:row>
      <xdr:rowOff>0</xdr:rowOff>
    </xdr:from>
    <xdr:to>
      <xdr:col>4</xdr:col>
      <xdr:colOff>85725</xdr:colOff>
      <xdr:row>53</xdr:row>
      <xdr:rowOff>0</xdr:rowOff>
    </xdr:to>
    <xdr:sp macro="" textlink="">
      <xdr:nvSpPr>
        <xdr:cNvPr id="59" name="Line 115">
          <a:extLst>
            <a:ext uri="{FF2B5EF4-FFF2-40B4-BE49-F238E27FC236}">
              <a16:creationId xmlns:a16="http://schemas.microsoft.com/office/drawing/2014/main" id="{DCF72D0E-8565-B461-D392-9984F5DFBE63}"/>
            </a:ext>
          </a:extLst>
        </xdr:cNvPr>
        <xdr:cNvSpPr>
          <a:spLocks noChangeShapeType="1"/>
        </xdr:cNvSpPr>
      </xdr:nvSpPr>
      <xdr:spPr bwMode="auto">
        <a:xfrm>
          <a:off x="3743325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60" name="Line 150">
          <a:extLst>
            <a:ext uri="{FF2B5EF4-FFF2-40B4-BE49-F238E27FC236}">
              <a16:creationId xmlns:a16="http://schemas.microsoft.com/office/drawing/2014/main" id="{B84BCCB2-68AA-B089-A110-056285B93EF8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62</xdr:row>
      <xdr:rowOff>0</xdr:rowOff>
    </xdr:from>
    <xdr:to>
      <xdr:col>7</xdr:col>
      <xdr:colOff>85725</xdr:colOff>
      <xdr:row>62</xdr:row>
      <xdr:rowOff>0</xdr:rowOff>
    </xdr:to>
    <xdr:sp macro="" textlink="">
      <xdr:nvSpPr>
        <xdr:cNvPr id="61" name="Line 151">
          <a:extLst>
            <a:ext uri="{FF2B5EF4-FFF2-40B4-BE49-F238E27FC236}">
              <a16:creationId xmlns:a16="http://schemas.microsoft.com/office/drawing/2014/main" id="{6CA39E1E-B163-22F3-D03C-10064CD5CD5E}"/>
            </a:ext>
          </a:extLst>
        </xdr:cNvPr>
        <xdr:cNvSpPr>
          <a:spLocks noChangeShapeType="1"/>
        </xdr:cNvSpPr>
      </xdr:nvSpPr>
      <xdr:spPr bwMode="auto">
        <a:xfrm>
          <a:off x="13201650" y="18087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62" name="Line 153">
          <a:extLst>
            <a:ext uri="{FF2B5EF4-FFF2-40B4-BE49-F238E27FC236}">
              <a16:creationId xmlns:a16="http://schemas.microsoft.com/office/drawing/2014/main" id="{15DCCF40-519B-74F9-28DC-60BB80AE97D1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63" name="Line 154">
          <a:extLst>
            <a:ext uri="{FF2B5EF4-FFF2-40B4-BE49-F238E27FC236}">
              <a16:creationId xmlns:a16="http://schemas.microsoft.com/office/drawing/2014/main" id="{4D8F2EAD-B718-9FAC-D599-0FDEB304EB69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62</xdr:row>
      <xdr:rowOff>0</xdr:rowOff>
    </xdr:from>
    <xdr:to>
      <xdr:col>7</xdr:col>
      <xdr:colOff>85725</xdr:colOff>
      <xdr:row>62</xdr:row>
      <xdr:rowOff>0</xdr:rowOff>
    </xdr:to>
    <xdr:sp macro="" textlink="">
      <xdr:nvSpPr>
        <xdr:cNvPr id="64" name="Line 155">
          <a:extLst>
            <a:ext uri="{FF2B5EF4-FFF2-40B4-BE49-F238E27FC236}">
              <a16:creationId xmlns:a16="http://schemas.microsoft.com/office/drawing/2014/main" id="{F683A0F8-D544-73C5-6D08-0EA5605576DD}"/>
            </a:ext>
          </a:extLst>
        </xdr:cNvPr>
        <xdr:cNvSpPr>
          <a:spLocks noChangeShapeType="1"/>
        </xdr:cNvSpPr>
      </xdr:nvSpPr>
      <xdr:spPr bwMode="auto">
        <a:xfrm>
          <a:off x="13201650" y="18087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65" name="Line 157">
          <a:extLst>
            <a:ext uri="{FF2B5EF4-FFF2-40B4-BE49-F238E27FC236}">
              <a16:creationId xmlns:a16="http://schemas.microsoft.com/office/drawing/2014/main" id="{A52629B4-DFF0-E996-8DCB-0E465A157291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62</xdr:row>
      <xdr:rowOff>0</xdr:rowOff>
    </xdr:from>
    <xdr:to>
      <xdr:col>7</xdr:col>
      <xdr:colOff>85725</xdr:colOff>
      <xdr:row>62</xdr:row>
      <xdr:rowOff>0</xdr:rowOff>
    </xdr:to>
    <xdr:sp macro="" textlink="">
      <xdr:nvSpPr>
        <xdr:cNvPr id="66" name="Line 159">
          <a:extLst>
            <a:ext uri="{FF2B5EF4-FFF2-40B4-BE49-F238E27FC236}">
              <a16:creationId xmlns:a16="http://schemas.microsoft.com/office/drawing/2014/main" id="{A7878CB4-E52F-B04B-F524-F90E72E92F2A}"/>
            </a:ext>
          </a:extLst>
        </xdr:cNvPr>
        <xdr:cNvSpPr>
          <a:spLocks noChangeShapeType="1"/>
        </xdr:cNvSpPr>
      </xdr:nvSpPr>
      <xdr:spPr bwMode="auto">
        <a:xfrm>
          <a:off x="13201650" y="18087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62</xdr:row>
      <xdr:rowOff>0</xdr:rowOff>
    </xdr:from>
    <xdr:to>
      <xdr:col>7</xdr:col>
      <xdr:colOff>85725</xdr:colOff>
      <xdr:row>62</xdr:row>
      <xdr:rowOff>0</xdr:rowOff>
    </xdr:to>
    <xdr:sp macro="" textlink="">
      <xdr:nvSpPr>
        <xdr:cNvPr id="67" name="Line 160">
          <a:extLst>
            <a:ext uri="{FF2B5EF4-FFF2-40B4-BE49-F238E27FC236}">
              <a16:creationId xmlns:a16="http://schemas.microsoft.com/office/drawing/2014/main" id="{6DD4E73C-1A42-D702-329C-23A69AFD73EA}"/>
            </a:ext>
          </a:extLst>
        </xdr:cNvPr>
        <xdr:cNvSpPr>
          <a:spLocks noChangeShapeType="1"/>
        </xdr:cNvSpPr>
      </xdr:nvSpPr>
      <xdr:spPr bwMode="auto">
        <a:xfrm>
          <a:off x="13201650" y="18087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62</xdr:row>
      <xdr:rowOff>0</xdr:rowOff>
    </xdr:from>
    <xdr:to>
      <xdr:col>7</xdr:col>
      <xdr:colOff>85725</xdr:colOff>
      <xdr:row>62</xdr:row>
      <xdr:rowOff>0</xdr:rowOff>
    </xdr:to>
    <xdr:sp macro="" textlink="">
      <xdr:nvSpPr>
        <xdr:cNvPr id="68" name="Line 161">
          <a:extLst>
            <a:ext uri="{FF2B5EF4-FFF2-40B4-BE49-F238E27FC236}">
              <a16:creationId xmlns:a16="http://schemas.microsoft.com/office/drawing/2014/main" id="{5C75B96D-E52C-4708-8E3F-780794AAC90F}"/>
            </a:ext>
          </a:extLst>
        </xdr:cNvPr>
        <xdr:cNvSpPr>
          <a:spLocks noChangeShapeType="1"/>
        </xdr:cNvSpPr>
      </xdr:nvSpPr>
      <xdr:spPr bwMode="auto">
        <a:xfrm>
          <a:off x="13201650" y="18087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69" name="Line 163">
          <a:extLst>
            <a:ext uri="{FF2B5EF4-FFF2-40B4-BE49-F238E27FC236}">
              <a16:creationId xmlns:a16="http://schemas.microsoft.com/office/drawing/2014/main" id="{B9C56E7C-B2AB-DCC0-6FFB-B045504E44EE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70" name="Line 164">
          <a:extLst>
            <a:ext uri="{FF2B5EF4-FFF2-40B4-BE49-F238E27FC236}">
              <a16:creationId xmlns:a16="http://schemas.microsoft.com/office/drawing/2014/main" id="{1177D944-7D20-E3AB-92F9-D193AC15259C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58</xdr:row>
      <xdr:rowOff>0</xdr:rowOff>
    </xdr:from>
    <xdr:to>
      <xdr:col>4</xdr:col>
      <xdr:colOff>85725</xdr:colOff>
      <xdr:row>58</xdr:row>
      <xdr:rowOff>0</xdr:rowOff>
    </xdr:to>
    <xdr:sp macro="" textlink="">
      <xdr:nvSpPr>
        <xdr:cNvPr id="71" name="Line 165">
          <a:extLst>
            <a:ext uri="{FF2B5EF4-FFF2-40B4-BE49-F238E27FC236}">
              <a16:creationId xmlns:a16="http://schemas.microsoft.com/office/drawing/2014/main" id="{6CB8CF75-E854-5F9B-BA04-1FABC002AA5B}"/>
            </a:ext>
          </a:extLst>
        </xdr:cNvPr>
        <xdr:cNvSpPr>
          <a:spLocks noChangeShapeType="1"/>
        </xdr:cNvSpPr>
      </xdr:nvSpPr>
      <xdr:spPr bwMode="auto">
        <a:xfrm>
          <a:off x="3743325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72" name="Line 15">
          <a:extLst>
            <a:ext uri="{FF2B5EF4-FFF2-40B4-BE49-F238E27FC236}">
              <a16:creationId xmlns:a16="http://schemas.microsoft.com/office/drawing/2014/main" id="{F69696B7-9522-7D05-2882-47FFEC3FD643}"/>
            </a:ext>
          </a:extLst>
        </xdr:cNvPr>
        <xdr:cNvSpPr>
          <a:spLocks noChangeShapeType="1"/>
        </xdr:cNvSpPr>
      </xdr:nvSpPr>
      <xdr:spPr bwMode="auto">
        <a:xfrm>
          <a:off x="6115050" y="13944600"/>
          <a:ext cx="7000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73" name="Line 15">
          <a:extLst>
            <a:ext uri="{FF2B5EF4-FFF2-40B4-BE49-F238E27FC236}">
              <a16:creationId xmlns:a16="http://schemas.microsoft.com/office/drawing/2014/main" id="{EA87ECEC-2639-97D2-14C1-844AFFE0FB75}"/>
            </a:ext>
          </a:extLst>
        </xdr:cNvPr>
        <xdr:cNvSpPr>
          <a:spLocks noChangeShapeType="1"/>
        </xdr:cNvSpPr>
      </xdr:nvSpPr>
      <xdr:spPr bwMode="auto">
        <a:xfrm>
          <a:off x="0" y="15487650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4</xdr:col>
      <xdr:colOff>0</xdr:colOff>
      <xdr:row>48</xdr:row>
      <xdr:rowOff>0</xdr:rowOff>
    </xdr:to>
    <xdr:sp macro="" textlink="">
      <xdr:nvSpPr>
        <xdr:cNvPr id="74" name="Line 15">
          <a:extLst>
            <a:ext uri="{FF2B5EF4-FFF2-40B4-BE49-F238E27FC236}">
              <a16:creationId xmlns:a16="http://schemas.microsoft.com/office/drawing/2014/main" id="{D2CD5B37-9864-6793-D385-4AD8B3AA1312}"/>
            </a:ext>
          </a:extLst>
        </xdr:cNvPr>
        <xdr:cNvSpPr>
          <a:spLocks noChangeShapeType="1"/>
        </xdr:cNvSpPr>
      </xdr:nvSpPr>
      <xdr:spPr bwMode="auto">
        <a:xfrm>
          <a:off x="2514600" y="1548765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75" name="Line 15">
          <a:extLst>
            <a:ext uri="{FF2B5EF4-FFF2-40B4-BE49-F238E27FC236}">
              <a16:creationId xmlns:a16="http://schemas.microsoft.com/office/drawing/2014/main" id="{97694A2E-8FF5-8F92-978C-2FBA012C2324}"/>
            </a:ext>
          </a:extLst>
        </xdr:cNvPr>
        <xdr:cNvSpPr>
          <a:spLocks noChangeShapeType="1"/>
        </xdr:cNvSpPr>
      </xdr:nvSpPr>
      <xdr:spPr bwMode="auto">
        <a:xfrm>
          <a:off x="6115050" y="15487650"/>
          <a:ext cx="7000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53</xdr:row>
      <xdr:rowOff>0</xdr:rowOff>
    </xdr:from>
    <xdr:to>
      <xdr:col>7</xdr:col>
      <xdr:colOff>85725</xdr:colOff>
      <xdr:row>53</xdr:row>
      <xdr:rowOff>0</xdr:rowOff>
    </xdr:to>
    <xdr:sp macro="" textlink="">
      <xdr:nvSpPr>
        <xdr:cNvPr id="76" name="Line 28">
          <a:extLst>
            <a:ext uri="{FF2B5EF4-FFF2-40B4-BE49-F238E27FC236}">
              <a16:creationId xmlns:a16="http://schemas.microsoft.com/office/drawing/2014/main" id="{8B7DB739-0ED4-7488-5745-229288887350}"/>
            </a:ext>
          </a:extLst>
        </xdr:cNvPr>
        <xdr:cNvSpPr>
          <a:spLocks noChangeShapeType="1"/>
        </xdr:cNvSpPr>
      </xdr:nvSpPr>
      <xdr:spPr bwMode="auto">
        <a:xfrm>
          <a:off x="13201650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53</xdr:row>
      <xdr:rowOff>0</xdr:rowOff>
    </xdr:from>
    <xdr:to>
      <xdr:col>7</xdr:col>
      <xdr:colOff>85725</xdr:colOff>
      <xdr:row>53</xdr:row>
      <xdr:rowOff>0</xdr:rowOff>
    </xdr:to>
    <xdr:sp macro="" textlink="">
      <xdr:nvSpPr>
        <xdr:cNvPr id="77" name="Line 101">
          <a:extLst>
            <a:ext uri="{FF2B5EF4-FFF2-40B4-BE49-F238E27FC236}">
              <a16:creationId xmlns:a16="http://schemas.microsoft.com/office/drawing/2014/main" id="{CDA21E58-EA64-709C-22E9-C4DF09611E2D}"/>
            </a:ext>
          </a:extLst>
        </xdr:cNvPr>
        <xdr:cNvSpPr>
          <a:spLocks noChangeShapeType="1"/>
        </xdr:cNvSpPr>
      </xdr:nvSpPr>
      <xdr:spPr bwMode="auto">
        <a:xfrm>
          <a:off x="13201650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53</xdr:row>
      <xdr:rowOff>0</xdr:rowOff>
    </xdr:from>
    <xdr:to>
      <xdr:col>7</xdr:col>
      <xdr:colOff>85725</xdr:colOff>
      <xdr:row>53</xdr:row>
      <xdr:rowOff>0</xdr:rowOff>
    </xdr:to>
    <xdr:sp macro="" textlink="">
      <xdr:nvSpPr>
        <xdr:cNvPr id="78" name="Line 102">
          <a:extLst>
            <a:ext uri="{FF2B5EF4-FFF2-40B4-BE49-F238E27FC236}">
              <a16:creationId xmlns:a16="http://schemas.microsoft.com/office/drawing/2014/main" id="{315D9D8D-9ADA-93B2-31A4-5F639099D1AC}"/>
            </a:ext>
          </a:extLst>
        </xdr:cNvPr>
        <xdr:cNvSpPr>
          <a:spLocks noChangeShapeType="1"/>
        </xdr:cNvSpPr>
      </xdr:nvSpPr>
      <xdr:spPr bwMode="auto">
        <a:xfrm>
          <a:off x="13201650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53</xdr:row>
      <xdr:rowOff>0</xdr:rowOff>
    </xdr:from>
    <xdr:to>
      <xdr:col>7</xdr:col>
      <xdr:colOff>85725</xdr:colOff>
      <xdr:row>53</xdr:row>
      <xdr:rowOff>0</xdr:rowOff>
    </xdr:to>
    <xdr:sp macro="" textlink="">
      <xdr:nvSpPr>
        <xdr:cNvPr id="79" name="Line 103">
          <a:extLst>
            <a:ext uri="{FF2B5EF4-FFF2-40B4-BE49-F238E27FC236}">
              <a16:creationId xmlns:a16="http://schemas.microsoft.com/office/drawing/2014/main" id="{1E9DD267-A317-552B-8177-CF0A9AA3D2C2}"/>
            </a:ext>
          </a:extLst>
        </xdr:cNvPr>
        <xdr:cNvSpPr>
          <a:spLocks noChangeShapeType="1"/>
        </xdr:cNvSpPr>
      </xdr:nvSpPr>
      <xdr:spPr bwMode="auto">
        <a:xfrm>
          <a:off x="13201650" y="16544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58</xdr:row>
      <xdr:rowOff>0</xdr:rowOff>
    </xdr:from>
    <xdr:to>
      <xdr:col>7</xdr:col>
      <xdr:colOff>85725</xdr:colOff>
      <xdr:row>58</xdr:row>
      <xdr:rowOff>0</xdr:rowOff>
    </xdr:to>
    <xdr:sp macro="" textlink="">
      <xdr:nvSpPr>
        <xdr:cNvPr id="80" name="Line 28">
          <a:extLst>
            <a:ext uri="{FF2B5EF4-FFF2-40B4-BE49-F238E27FC236}">
              <a16:creationId xmlns:a16="http://schemas.microsoft.com/office/drawing/2014/main" id="{817A1889-3E2F-926F-8319-5491E8D0EDB2}"/>
            </a:ext>
          </a:extLst>
        </xdr:cNvPr>
        <xdr:cNvSpPr>
          <a:spLocks noChangeShapeType="1"/>
        </xdr:cNvSpPr>
      </xdr:nvSpPr>
      <xdr:spPr bwMode="auto">
        <a:xfrm>
          <a:off x="13201650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58</xdr:row>
      <xdr:rowOff>0</xdr:rowOff>
    </xdr:from>
    <xdr:to>
      <xdr:col>7</xdr:col>
      <xdr:colOff>85725</xdr:colOff>
      <xdr:row>58</xdr:row>
      <xdr:rowOff>0</xdr:rowOff>
    </xdr:to>
    <xdr:sp macro="" textlink="">
      <xdr:nvSpPr>
        <xdr:cNvPr id="81" name="Line 101">
          <a:extLst>
            <a:ext uri="{FF2B5EF4-FFF2-40B4-BE49-F238E27FC236}">
              <a16:creationId xmlns:a16="http://schemas.microsoft.com/office/drawing/2014/main" id="{44AFBBEB-A498-805F-4769-0715C8FE463C}"/>
            </a:ext>
          </a:extLst>
        </xdr:cNvPr>
        <xdr:cNvSpPr>
          <a:spLocks noChangeShapeType="1"/>
        </xdr:cNvSpPr>
      </xdr:nvSpPr>
      <xdr:spPr bwMode="auto">
        <a:xfrm>
          <a:off x="13201650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58</xdr:row>
      <xdr:rowOff>0</xdr:rowOff>
    </xdr:from>
    <xdr:to>
      <xdr:col>7</xdr:col>
      <xdr:colOff>85725</xdr:colOff>
      <xdr:row>58</xdr:row>
      <xdr:rowOff>0</xdr:rowOff>
    </xdr:to>
    <xdr:sp macro="" textlink="">
      <xdr:nvSpPr>
        <xdr:cNvPr id="82" name="Line 102">
          <a:extLst>
            <a:ext uri="{FF2B5EF4-FFF2-40B4-BE49-F238E27FC236}">
              <a16:creationId xmlns:a16="http://schemas.microsoft.com/office/drawing/2014/main" id="{5E4C2A3D-E3D5-F4F7-2D46-7E8A53DA2CB0}"/>
            </a:ext>
          </a:extLst>
        </xdr:cNvPr>
        <xdr:cNvSpPr>
          <a:spLocks noChangeShapeType="1"/>
        </xdr:cNvSpPr>
      </xdr:nvSpPr>
      <xdr:spPr bwMode="auto">
        <a:xfrm>
          <a:off x="13201650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58</xdr:row>
      <xdr:rowOff>0</xdr:rowOff>
    </xdr:from>
    <xdr:to>
      <xdr:col>7</xdr:col>
      <xdr:colOff>85725</xdr:colOff>
      <xdr:row>58</xdr:row>
      <xdr:rowOff>0</xdr:rowOff>
    </xdr:to>
    <xdr:sp macro="" textlink="">
      <xdr:nvSpPr>
        <xdr:cNvPr id="83" name="Line 103">
          <a:extLst>
            <a:ext uri="{FF2B5EF4-FFF2-40B4-BE49-F238E27FC236}">
              <a16:creationId xmlns:a16="http://schemas.microsoft.com/office/drawing/2014/main" id="{6236F4BD-F315-D442-814C-0DFFD75582EC}"/>
            </a:ext>
          </a:extLst>
        </xdr:cNvPr>
        <xdr:cNvSpPr>
          <a:spLocks noChangeShapeType="1"/>
        </xdr:cNvSpPr>
      </xdr:nvSpPr>
      <xdr:spPr bwMode="auto">
        <a:xfrm>
          <a:off x="13201650" y="1740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0</xdr:colOff>
      <xdr:row>31</xdr:row>
      <xdr:rowOff>0</xdr:rowOff>
    </xdr:to>
    <xdr:sp macro="" textlink="">
      <xdr:nvSpPr>
        <xdr:cNvPr id="84" name="Line 15">
          <a:extLst>
            <a:ext uri="{FF2B5EF4-FFF2-40B4-BE49-F238E27FC236}">
              <a16:creationId xmlns:a16="http://schemas.microsoft.com/office/drawing/2014/main" id="{252109A2-5CF6-D609-8F83-5CB92AC2397F}"/>
            </a:ext>
          </a:extLst>
        </xdr:cNvPr>
        <xdr:cNvSpPr>
          <a:spLocks noChangeShapeType="1"/>
        </xdr:cNvSpPr>
      </xdr:nvSpPr>
      <xdr:spPr bwMode="auto">
        <a:xfrm>
          <a:off x="6115050" y="8058150"/>
          <a:ext cx="7000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0</xdr:colOff>
      <xdr:row>44</xdr:row>
      <xdr:rowOff>0</xdr:rowOff>
    </xdr:to>
    <xdr:sp macro="" textlink="">
      <xdr:nvSpPr>
        <xdr:cNvPr id="85" name="Line 15">
          <a:extLst>
            <a:ext uri="{FF2B5EF4-FFF2-40B4-BE49-F238E27FC236}">
              <a16:creationId xmlns:a16="http://schemas.microsoft.com/office/drawing/2014/main" id="{F01908E7-510D-F982-7776-7E69EF5A73D5}"/>
            </a:ext>
          </a:extLst>
        </xdr:cNvPr>
        <xdr:cNvSpPr>
          <a:spLocks noChangeShapeType="1"/>
        </xdr:cNvSpPr>
      </xdr:nvSpPr>
      <xdr:spPr bwMode="auto">
        <a:xfrm>
          <a:off x="0" y="13944600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44</xdr:row>
      <xdr:rowOff>0</xdr:rowOff>
    </xdr:to>
    <xdr:sp macro="" textlink="">
      <xdr:nvSpPr>
        <xdr:cNvPr id="86" name="Line 15">
          <a:extLst>
            <a:ext uri="{FF2B5EF4-FFF2-40B4-BE49-F238E27FC236}">
              <a16:creationId xmlns:a16="http://schemas.microsoft.com/office/drawing/2014/main" id="{88C75DB1-6421-ED0E-85B1-6106F082FAD4}"/>
            </a:ext>
          </a:extLst>
        </xdr:cNvPr>
        <xdr:cNvSpPr>
          <a:spLocks noChangeShapeType="1"/>
        </xdr:cNvSpPr>
      </xdr:nvSpPr>
      <xdr:spPr bwMode="auto">
        <a:xfrm>
          <a:off x="2514600" y="139446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87" name="Line 15">
          <a:extLst>
            <a:ext uri="{FF2B5EF4-FFF2-40B4-BE49-F238E27FC236}">
              <a16:creationId xmlns:a16="http://schemas.microsoft.com/office/drawing/2014/main" id="{94DD9AC7-8BC2-F809-6317-F3EDD28A9365}"/>
            </a:ext>
          </a:extLst>
        </xdr:cNvPr>
        <xdr:cNvSpPr>
          <a:spLocks noChangeShapeType="1"/>
        </xdr:cNvSpPr>
      </xdr:nvSpPr>
      <xdr:spPr bwMode="auto">
        <a:xfrm>
          <a:off x="6115050" y="13944600"/>
          <a:ext cx="7000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88" name="Line 24">
          <a:extLst>
            <a:ext uri="{FF2B5EF4-FFF2-40B4-BE49-F238E27FC236}">
              <a16:creationId xmlns:a16="http://schemas.microsoft.com/office/drawing/2014/main" id="{8FC8061F-1A08-0DA5-C82A-3BAA7173BF51}"/>
            </a:ext>
          </a:extLst>
        </xdr:cNvPr>
        <xdr:cNvSpPr>
          <a:spLocks noChangeShapeType="1"/>
        </xdr:cNvSpPr>
      </xdr:nvSpPr>
      <xdr:spPr bwMode="auto">
        <a:xfrm>
          <a:off x="6115050" y="15487650"/>
          <a:ext cx="7000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89" name="Line 28">
          <a:extLst>
            <a:ext uri="{FF2B5EF4-FFF2-40B4-BE49-F238E27FC236}">
              <a16:creationId xmlns:a16="http://schemas.microsoft.com/office/drawing/2014/main" id="{6BF511FA-87E9-931C-564D-6B1D472A4200}"/>
            </a:ext>
          </a:extLst>
        </xdr:cNvPr>
        <xdr:cNvSpPr>
          <a:spLocks noChangeShapeType="1"/>
        </xdr:cNvSpPr>
      </xdr:nvSpPr>
      <xdr:spPr bwMode="auto">
        <a:xfrm>
          <a:off x="13201650" y="2457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0" name="Line 101">
          <a:extLst>
            <a:ext uri="{FF2B5EF4-FFF2-40B4-BE49-F238E27FC236}">
              <a16:creationId xmlns:a16="http://schemas.microsoft.com/office/drawing/2014/main" id="{72BFE8B0-4DD6-3081-B58E-C458B739CD81}"/>
            </a:ext>
          </a:extLst>
        </xdr:cNvPr>
        <xdr:cNvSpPr>
          <a:spLocks noChangeShapeType="1"/>
        </xdr:cNvSpPr>
      </xdr:nvSpPr>
      <xdr:spPr bwMode="auto">
        <a:xfrm>
          <a:off x="13201650" y="2457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1" name="Line 102">
          <a:extLst>
            <a:ext uri="{FF2B5EF4-FFF2-40B4-BE49-F238E27FC236}">
              <a16:creationId xmlns:a16="http://schemas.microsoft.com/office/drawing/2014/main" id="{F0F3783B-BEFC-EB2D-5F4C-54A3401B3A8E}"/>
            </a:ext>
          </a:extLst>
        </xdr:cNvPr>
        <xdr:cNvSpPr>
          <a:spLocks noChangeShapeType="1"/>
        </xdr:cNvSpPr>
      </xdr:nvSpPr>
      <xdr:spPr bwMode="auto">
        <a:xfrm>
          <a:off x="13201650" y="2457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2" name="Line 103">
          <a:extLst>
            <a:ext uri="{FF2B5EF4-FFF2-40B4-BE49-F238E27FC236}">
              <a16:creationId xmlns:a16="http://schemas.microsoft.com/office/drawing/2014/main" id="{71E5C2C2-C381-F279-1386-6D90B88F800E}"/>
            </a:ext>
          </a:extLst>
        </xdr:cNvPr>
        <xdr:cNvSpPr>
          <a:spLocks noChangeShapeType="1"/>
        </xdr:cNvSpPr>
      </xdr:nvSpPr>
      <xdr:spPr bwMode="auto">
        <a:xfrm>
          <a:off x="13201650" y="2457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1" name="Line 2">
          <a:extLst>
            <a:ext uri="{FF2B5EF4-FFF2-40B4-BE49-F238E27FC236}">
              <a16:creationId xmlns:a16="http://schemas.microsoft.com/office/drawing/2014/main" id="{3486B44A-3E66-41BF-2704-1025EB1AB61F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2" name="Line 5">
          <a:extLst>
            <a:ext uri="{FF2B5EF4-FFF2-40B4-BE49-F238E27FC236}">
              <a16:creationId xmlns:a16="http://schemas.microsoft.com/office/drawing/2014/main" id="{65627F01-4C1D-E0A3-188E-B84B5FDFABEB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3" name="Line 6">
          <a:extLst>
            <a:ext uri="{FF2B5EF4-FFF2-40B4-BE49-F238E27FC236}">
              <a16:creationId xmlns:a16="http://schemas.microsoft.com/office/drawing/2014/main" id="{5B0F61D5-35C6-42AF-C3D1-821AB99ADA0F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74" name="Line 10">
          <a:extLst>
            <a:ext uri="{FF2B5EF4-FFF2-40B4-BE49-F238E27FC236}">
              <a16:creationId xmlns:a16="http://schemas.microsoft.com/office/drawing/2014/main" id="{82B68107-71CE-BB5B-0F55-9CA9644C8434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84475" name="Line 15">
          <a:extLst>
            <a:ext uri="{FF2B5EF4-FFF2-40B4-BE49-F238E27FC236}">
              <a16:creationId xmlns:a16="http://schemas.microsoft.com/office/drawing/2014/main" id="{1173491A-5E04-C4BF-E521-073D536AF362}"/>
            </a:ext>
          </a:extLst>
        </xdr:cNvPr>
        <xdr:cNvSpPr>
          <a:spLocks noChangeShapeType="1"/>
        </xdr:cNvSpPr>
      </xdr:nvSpPr>
      <xdr:spPr bwMode="auto">
        <a:xfrm>
          <a:off x="4943475" y="6648450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76" name="Line 16">
          <a:extLst>
            <a:ext uri="{FF2B5EF4-FFF2-40B4-BE49-F238E27FC236}">
              <a16:creationId xmlns:a16="http://schemas.microsoft.com/office/drawing/2014/main" id="{87E6DC23-2C47-E38E-06E2-4099E816F8ED}"/>
            </a:ext>
          </a:extLst>
        </xdr:cNvPr>
        <xdr:cNvSpPr>
          <a:spLocks noChangeShapeType="1"/>
        </xdr:cNvSpPr>
      </xdr:nvSpPr>
      <xdr:spPr bwMode="auto">
        <a:xfrm>
          <a:off x="6677025" y="664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7" name="Line 47">
          <a:extLst>
            <a:ext uri="{FF2B5EF4-FFF2-40B4-BE49-F238E27FC236}">
              <a16:creationId xmlns:a16="http://schemas.microsoft.com/office/drawing/2014/main" id="{AA0019F8-B758-2FDC-3634-5B73AA03CEFE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78" name="Line 49">
          <a:extLst>
            <a:ext uri="{FF2B5EF4-FFF2-40B4-BE49-F238E27FC236}">
              <a16:creationId xmlns:a16="http://schemas.microsoft.com/office/drawing/2014/main" id="{41D08270-1A4D-9BB9-00FC-F4537935E2CA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79" name="Line 50">
          <a:extLst>
            <a:ext uri="{FF2B5EF4-FFF2-40B4-BE49-F238E27FC236}">
              <a16:creationId xmlns:a16="http://schemas.microsoft.com/office/drawing/2014/main" id="{325CAA81-53A4-D42C-91A6-E8CA900B00A7}"/>
            </a:ext>
          </a:extLst>
        </xdr:cNvPr>
        <xdr:cNvSpPr>
          <a:spLocks noChangeShapeType="1"/>
        </xdr:cNvSpPr>
      </xdr:nvSpPr>
      <xdr:spPr bwMode="auto">
        <a:xfrm>
          <a:off x="6677025" y="664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0" name="Line 59">
          <a:extLst>
            <a:ext uri="{FF2B5EF4-FFF2-40B4-BE49-F238E27FC236}">
              <a16:creationId xmlns:a16="http://schemas.microsoft.com/office/drawing/2014/main" id="{A1F790DC-36E0-8818-05BA-7AA6CCA25BC9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1" name="Line 65">
          <a:extLst>
            <a:ext uri="{FF2B5EF4-FFF2-40B4-BE49-F238E27FC236}">
              <a16:creationId xmlns:a16="http://schemas.microsoft.com/office/drawing/2014/main" id="{D532C6B6-6024-D8F3-FC76-64DCBC9BC8AE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2" name="Line 66">
          <a:extLst>
            <a:ext uri="{FF2B5EF4-FFF2-40B4-BE49-F238E27FC236}">
              <a16:creationId xmlns:a16="http://schemas.microsoft.com/office/drawing/2014/main" id="{5AFD72D8-CB7B-BB00-AA3C-6CCF8FCFBE0A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3" name="Line 67">
          <a:extLst>
            <a:ext uri="{FF2B5EF4-FFF2-40B4-BE49-F238E27FC236}">
              <a16:creationId xmlns:a16="http://schemas.microsoft.com/office/drawing/2014/main" id="{078823D4-D3EC-0E3C-951B-F384F84334EB}"/>
            </a:ext>
          </a:extLst>
        </xdr:cNvPr>
        <xdr:cNvSpPr>
          <a:spLocks noChangeShapeType="1"/>
        </xdr:cNvSpPr>
      </xdr:nvSpPr>
      <xdr:spPr bwMode="auto">
        <a:xfrm>
          <a:off x="6677025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4" name="Line 69">
          <a:extLst>
            <a:ext uri="{FF2B5EF4-FFF2-40B4-BE49-F238E27FC236}">
              <a16:creationId xmlns:a16="http://schemas.microsoft.com/office/drawing/2014/main" id="{387CD77C-02BC-573E-080E-E00D5408F156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5" name="Line 70">
          <a:extLst>
            <a:ext uri="{FF2B5EF4-FFF2-40B4-BE49-F238E27FC236}">
              <a16:creationId xmlns:a16="http://schemas.microsoft.com/office/drawing/2014/main" id="{2E272605-1635-D55E-96C6-3DA28D4E74D9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6" name="Line 71">
          <a:extLst>
            <a:ext uri="{FF2B5EF4-FFF2-40B4-BE49-F238E27FC236}">
              <a16:creationId xmlns:a16="http://schemas.microsoft.com/office/drawing/2014/main" id="{F7BF2C0E-79D9-7A6A-2DE4-9F08A4AD11BA}"/>
            </a:ext>
          </a:extLst>
        </xdr:cNvPr>
        <xdr:cNvSpPr>
          <a:spLocks noChangeShapeType="1"/>
        </xdr:cNvSpPr>
      </xdr:nvSpPr>
      <xdr:spPr bwMode="auto">
        <a:xfrm>
          <a:off x="6677025" y="470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7" name="Line 73">
          <a:extLst>
            <a:ext uri="{FF2B5EF4-FFF2-40B4-BE49-F238E27FC236}">
              <a16:creationId xmlns:a16="http://schemas.microsoft.com/office/drawing/2014/main" id="{C676D8EC-F64A-3B5B-BA3B-F1D84EF28693}"/>
            </a:ext>
          </a:extLst>
        </xdr:cNvPr>
        <xdr:cNvSpPr>
          <a:spLocks noChangeShapeType="1"/>
        </xdr:cNvSpPr>
      </xdr:nvSpPr>
      <xdr:spPr bwMode="auto">
        <a:xfrm>
          <a:off x="6677025" y="664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8" name="Line 74">
          <a:extLst>
            <a:ext uri="{FF2B5EF4-FFF2-40B4-BE49-F238E27FC236}">
              <a16:creationId xmlns:a16="http://schemas.microsoft.com/office/drawing/2014/main" id="{48566A29-21A0-8655-0C3D-A3E73F3E4DA0}"/>
            </a:ext>
          </a:extLst>
        </xdr:cNvPr>
        <xdr:cNvSpPr>
          <a:spLocks noChangeShapeType="1"/>
        </xdr:cNvSpPr>
      </xdr:nvSpPr>
      <xdr:spPr bwMode="auto">
        <a:xfrm>
          <a:off x="6677025" y="664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9" name="Line 75">
          <a:extLst>
            <a:ext uri="{FF2B5EF4-FFF2-40B4-BE49-F238E27FC236}">
              <a16:creationId xmlns:a16="http://schemas.microsoft.com/office/drawing/2014/main" id="{CC9E9D06-55A2-0B5D-E366-DEAF3F694BD1}"/>
            </a:ext>
          </a:extLst>
        </xdr:cNvPr>
        <xdr:cNvSpPr>
          <a:spLocks noChangeShapeType="1"/>
        </xdr:cNvSpPr>
      </xdr:nvSpPr>
      <xdr:spPr bwMode="auto">
        <a:xfrm>
          <a:off x="6677025" y="664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84490" name="Line 15">
          <a:extLst>
            <a:ext uri="{FF2B5EF4-FFF2-40B4-BE49-F238E27FC236}">
              <a16:creationId xmlns:a16="http://schemas.microsoft.com/office/drawing/2014/main" id="{B86C390A-EC59-AB51-86D1-1C6EF32473B1}"/>
            </a:ext>
          </a:extLst>
        </xdr:cNvPr>
        <xdr:cNvSpPr>
          <a:spLocks noChangeShapeType="1"/>
        </xdr:cNvSpPr>
      </xdr:nvSpPr>
      <xdr:spPr bwMode="auto">
        <a:xfrm>
          <a:off x="9886950" y="664845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84491" name="Line 15">
          <a:extLst>
            <a:ext uri="{FF2B5EF4-FFF2-40B4-BE49-F238E27FC236}">
              <a16:creationId xmlns:a16="http://schemas.microsoft.com/office/drawing/2014/main" id="{8FDDFED3-5860-5B7A-330D-DB89FAA200E5}"/>
            </a:ext>
          </a:extLst>
        </xdr:cNvPr>
        <xdr:cNvSpPr>
          <a:spLocks noChangeShapeType="1"/>
        </xdr:cNvSpPr>
      </xdr:nvSpPr>
      <xdr:spPr bwMode="auto">
        <a:xfrm>
          <a:off x="9886950" y="470535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84492" name="Line 15">
          <a:extLst>
            <a:ext uri="{FF2B5EF4-FFF2-40B4-BE49-F238E27FC236}">
              <a16:creationId xmlns:a16="http://schemas.microsoft.com/office/drawing/2014/main" id="{79238DE5-E018-1F35-9880-84A1810B0F7F}"/>
            </a:ext>
          </a:extLst>
        </xdr:cNvPr>
        <xdr:cNvSpPr>
          <a:spLocks noChangeShapeType="1"/>
        </xdr:cNvSpPr>
      </xdr:nvSpPr>
      <xdr:spPr bwMode="auto">
        <a:xfrm>
          <a:off x="4943475" y="6648450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84493" name="Line 15">
          <a:extLst>
            <a:ext uri="{FF2B5EF4-FFF2-40B4-BE49-F238E27FC236}">
              <a16:creationId xmlns:a16="http://schemas.microsoft.com/office/drawing/2014/main" id="{265412A6-FDCA-5A80-D40B-69BFBE7A7A83}"/>
            </a:ext>
          </a:extLst>
        </xdr:cNvPr>
        <xdr:cNvSpPr>
          <a:spLocks noChangeShapeType="1"/>
        </xdr:cNvSpPr>
      </xdr:nvSpPr>
      <xdr:spPr bwMode="auto">
        <a:xfrm>
          <a:off x="9886950" y="664845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asan/Desktop/&#1575;&#1589;&#1604;&#1575;&#1581;&#1740;&#1607;%20&#1576;&#1608;&#1583;&#1580;&#1607;%20&#1578;&#1601;&#1589;&#1610;&#1604;&#1610;%201403.xlsx" TargetMode="External"/><Relationship Id="rId1" Type="http://schemas.openxmlformats.org/officeDocument/2006/relationships/externalLinkPath" Target="/Users/Hasan/Desktop/&#1575;&#1589;&#1604;&#1575;&#1581;&#1740;&#1607;%20&#1576;&#1608;&#1583;&#1580;&#1607;%20&#1578;&#1601;&#1589;&#1610;&#1604;&#1610;%201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فرم 1 "/>
      <sheetName val="فرم 2"/>
      <sheetName val="فرم 3 "/>
      <sheetName val="فرم 4"/>
      <sheetName val="فرم 5"/>
      <sheetName val="فرم1-5 "/>
      <sheetName val="فرم 6 "/>
      <sheetName val="فرم 7"/>
      <sheetName val="فرم 8 "/>
      <sheetName val="فرم 9"/>
      <sheetName val="فرم 10"/>
    </sheetNames>
    <sheetDataSet>
      <sheetData sheetId="0">
        <row r="28">
          <cell r="F28" t="str">
            <v>رئيس كميسيون دائمي هيات امنا - نام و نام خانوادگی : دکتر رضا قنبری</v>
          </cell>
          <cell r="M28" t="str">
            <v>رییس دستگاه اجرایی : دکتر محسن نظری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8"/>
  <sheetViews>
    <sheetView zoomScale="80" zoomScaleNormal="80" workbookViewId="0">
      <pane ySplit="1" topLeftCell="A2" activePane="bottomLeft" state="frozen"/>
      <selection pane="bottomLeft" activeCell="I6" sqref="I6"/>
    </sheetView>
  </sheetViews>
  <sheetFormatPr defaultColWidth="9.140625" defaultRowHeight="31.5" x14ac:dyDescent="0.95"/>
  <cols>
    <col min="1" max="1" width="13.7109375" style="476" customWidth="1"/>
    <col min="2" max="3" width="15.5703125" style="476" customWidth="1"/>
    <col min="4" max="4" width="15.28515625" style="476" customWidth="1"/>
    <col min="5" max="5" width="13.7109375" style="476" customWidth="1"/>
    <col min="6" max="6" width="15.140625" style="476" customWidth="1"/>
    <col min="7" max="7" width="16.28515625" style="476" customWidth="1"/>
    <col min="8" max="8" width="15.140625" style="476" customWidth="1"/>
    <col min="9" max="9" width="14.28515625" style="476" customWidth="1"/>
    <col min="10" max="10" width="15.140625" style="476" customWidth="1"/>
    <col min="11" max="11" width="15.5703125" style="476" customWidth="1"/>
    <col min="12" max="12" width="15.28515625" style="476" customWidth="1"/>
    <col min="13" max="13" width="23.140625" style="476" customWidth="1"/>
    <col min="14" max="14" width="9.5703125" style="476" customWidth="1"/>
    <col min="15" max="15" width="9" style="476" customWidth="1"/>
    <col min="16" max="16" width="5.42578125" style="477" customWidth="1"/>
    <col min="17" max="17" width="9.140625" style="478"/>
    <col min="18" max="28" width="9.140625" style="479"/>
    <col min="29" max="94" width="9.140625" style="480"/>
    <col min="95" max="16384" width="9.140625" style="5"/>
  </cols>
  <sheetData>
    <row r="1" spans="1:94" ht="3.75" customHeight="1" thickBot="1" x14ac:dyDescent="1"/>
    <row r="2" spans="1:94" ht="29.25" customHeight="1" x14ac:dyDescent="0.95">
      <c r="A2" s="691" t="s">
        <v>29</v>
      </c>
      <c r="B2" s="692"/>
      <c r="C2" s="601"/>
      <c r="D2" s="601"/>
      <c r="E2" s="481"/>
      <c r="F2" s="603"/>
      <c r="G2" s="603"/>
      <c r="H2" s="603"/>
      <c r="I2" s="481"/>
      <c r="J2" s="695" t="s">
        <v>329</v>
      </c>
      <c r="K2" s="695"/>
      <c r="L2" s="696"/>
      <c r="M2" s="697" t="s">
        <v>307</v>
      </c>
      <c r="N2" s="698"/>
      <c r="O2" s="699"/>
    </row>
    <row r="3" spans="1:94" ht="24.95" customHeight="1" thickBot="1" x14ac:dyDescent="1">
      <c r="A3" s="693"/>
      <c r="B3" s="694"/>
      <c r="C3" s="602"/>
      <c r="D3" s="602"/>
      <c r="E3" s="482"/>
      <c r="F3" s="599"/>
      <c r="G3" s="599"/>
      <c r="H3" s="599"/>
      <c r="J3" s="483"/>
      <c r="K3" s="700" t="s">
        <v>337</v>
      </c>
      <c r="L3" s="701"/>
      <c r="M3" s="702" t="s">
        <v>45</v>
      </c>
      <c r="N3" s="703"/>
      <c r="O3" s="704"/>
    </row>
    <row r="4" spans="1:94" s="487" customFormat="1" ht="35.25" customHeight="1" thickBot="1" x14ac:dyDescent="0.25">
      <c r="A4" s="680" t="s">
        <v>25</v>
      </c>
      <c r="B4" s="681"/>
      <c r="C4" s="681"/>
      <c r="D4" s="682"/>
      <c r="E4" s="680" t="s">
        <v>19</v>
      </c>
      <c r="F4" s="681"/>
      <c r="G4" s="681"/>
      <c r="H4" s="682"/>
      <c r="I4" s="683" t="s">
        <v>13</v>
      </c>
      <c r="J4" s="684"/>
      <c r="K4" s="684"/>
      <c r="L4" s="685"/>
      <c r="M4" s="686" t="s">
        <v>12</v>
      </c>
      <c r="N4" s="687"/>
      <c r="O4" s="688"/>
      <c r="P4" s="484"/>
      <c r="Q4" s="485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</row>
    <row r="5" spans="1:94" s="487" customFormat="1" ht="32.25" thickBot="1" x14ac:dyDescent="0.25">
      <c r="A5" s="488" t="s">
        <v>306</v>
      </c>
      <c r="B5" s="489" t="s">
        <v>305</v>
      </c>
      <c r="C5" s="489" t="s">
        <v>304</v>
      </c>
      <c r="D5" s="490" t="s">
        <v>302</v>
      </c>
      <c r="E5" s="488" t="s">
        <v>306</v>
      </c>
      <c r="F5" s="489" t="s">
        <v>305</v>
      </c>
      <c r="G5" s="489" t="s">
        <v>304</v>
      </c>
      <c r="H5" s="490" t="s">
        <v>302</v>
      </c>
      <c r="I5" s="488" t="s">
        <v>306</v>
      </c>
      <c r="J5" s="489" t="s">
        <v>305</v>
      </c>
      <c r="K5" s="489" t="s">
        <v>304</v>
      </c>
      <c r="L5" s="490" t="s">
        <v>302</v>
      </c>
      <c r="M5" s="689"/>
      <c r="N5" s="689"/>
      <c r="O5" s="690"/>
      <c r="P5" s="484"/>
      <c r="Q5" s="485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  <c r="AO5" s="486"/>
      <c r="AP5" s="486"/>
      <c r="AQ5" s="486"/>
      <c r="AR5" s="486"/>
      <c r="AS5" s="486"/>
      <c r="AT5" s="486"/>
      <c r="AU5" s="486"/>
      <c r="AV5" s="486"/>
      <c r="AW5" s="486"/>
      <c r="AX5" s="486"/>
      <c r="AY5" s="486"/>
      <c r="AZ5" s="486"/>
      <c r="BA5" s="486"/>
      <c r="BB5" s="486"/>
      <c r="BC5" s="486"/>
      <c r="BD5" s="486"/>
      <c r="BE5" s="486"/>
      <c r="BF5" s="486"/>
      <c r="BG5" s="486"/>
      <c r="BH5" s="486"/>
      <c r="BI5" s="486"/>
      <c r="BJ5" s="486"/>
      <c r="BK5" s="486"/>
      <c r="BL5" s="486"/>
      <c r="BM5" s="486"/>
      <c r="BN5" s="486"/>
      <c r="BO5" s="486"/>
      <c r="BP5" s="486"/>
      <c r="BQ5" s="486"/>
      <c r="BR5" s="486"/>
      <c r="BS5" s="486"/>
      <c r="BT5" s="486"/>
      <c r="BU5" s="486"/>
      <c r="BV5" s="486"/>
      <c r="BW5" s="486"/>
      <c r="BX5" s="486"/>
      <c r="BY5" s="486"/>
      <c r="BZ5" s="486"/>
      <c r="CA5" s="486"/>
      <c r="CB5" s="486"/>
      <c r="CC5" s="486"/>
      <c r="CD5" s="486"/>
      <c r="CE5" s="486"/>
      <c r="CF5" s="486"/>
      <c r="CG5" s="486"/>
      <c r="CH5" s="486"/>
      <c r="CI5" s="486"/>
      <c r="CJ5" s="486"/>
      <c r="CK5" s="486"/>
      <c r="CL5" s="486"/>
      <c r="CM5" s="486"/>
      <c r="CN5" s="486"/>
      <c r="CO5" s="486"/>
      <c r="CP5" s="486"/>
    </row>
    <row r="6" spans="1:94" s="497" customFormat="1" ht="45" customHeight="1" thickBot="1" x14ac:dyDescent="0.25">
      <c r="A6" s="491">
        <f>E6+I6</f>
        <v>1065526</v>
      </c>
      <c r="B6" s="492">
        <f t="shared" ref="A6:D10" si="0">F6+J6</f>
        <v>797779</v>
      </c>
      <c r="C6" s="492">
        <f t="shared" si="0"/>
        <v>1028584</v>
      </c>
      <c r="D6" s="492">
        <f t="shared" si="0"/>
        <v>491019</v>
      </c>
      <c r="E6" s="491">
        <f t="shared" ref="E6:K6" si="1">E7+E11</f>
        <v>216252</v>
      </c>
      <c r="F6" s="492">
        <f t="shared" si="1"/>
        <v>262897</v>
      </c>
      <c r="G6" s="492">
        <f t="shared" si="1"/>
        <v>479149</v>
      </c>
      <c r="H6" s="492">
        <f t="shared" si="1"/>
        <v>131384</v>
      </c>
      <c r="I6" s="492">
        <f t="shared" si="1"/>
        <v>849274</v>
      </c>
      <c r="J6" s="492">
        <f t="shared" si="1"/>
        <v>534882</v>
      </c>
      <c r="K6" s="492">
        <f t="shared" si="1"/>
        <v>549435</v>
      </c>
      <c r="L6" s="492">
        <f>L7+L11</f>
        <v>359635</v>
      </c>
      <c r="M6" s="709" t="s">
        <v>25</v>
      </c>
      <c r="N6" s="709"/>
      <c r="O6" s="710"/>
      <c r="P6" s="493"/>
      <c r="Q6" s="494"/>
      <c r="R6" s="495"/>
      <c r="S6" s="495"/>
      <c r="T6" s="495"/>
      <c r="U6" s="495"/>
      <c r="V6" s="495"/>
      <c r="W6" s="495"/>
      <c r="X6" s="495"/>
      <c r="Y6" s="495"/>
      <c r="Z6" s="495"/>
      <c r="AA6" s="495"/>
      <c r="AB6" s="495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6"/>
      <c r="BU6" s="496"/>
      <c r="BV6" s="496"/>
      <c r="BW6" s="496"/>
      <c r="BX6" s="496"/>
      <c r="BY6" s="496"/>
      <c r="BZ6" s="496"/>
      <c r="CA6" s="496"/>
      <c r="CB6" s="496"/>
      <c r="CC6" s="496"/>
      <c r="CD6" s="496"/>
      <c r="CE6" s="496"/>
      <c r="CF6" s="496"/>
      <c r="CG6" s="496"/>
      <c r="CH6" s="496"/>
      <c r="CI6" s="496"/>
      <c r="CJ6" s="496"/>
      <c r="CK6" s="496"/>
      <c r="CL6" s="496"/>
      <c r="CM6" s="496"/>
      <c r="CN6" s="496"/>
      <c r="CO6" s="496"/>
      <c r="CP6" s="496"/>
    </row>
    <row r="7" spans="1:94" ht="45" customHeight="1" thickTop="1" thickBot="1" x14ac:dyDescent="1">
      <c r="A7" s="498">
        <f>E7+I7</f>
        <v>843654</v>
      </c>
      <c r="B7" s="499">
        <f t="shared" si="0"/>
        <v>681830</v>
      </c>
      <c r="C7" s="499">
        <f t="shared" si="0"/>
        <v>884763</v>
      </c>
      <c r="D7" s="499">
        <f t="shared" si="0"/>
        <v>415163</v>
      </c>
      <c r="E7" s="595">
        <f>E8+E9+E10</f>
        <v>195736</v>
      </c>
      <c r="F7" s="499">
        <f>F8+F9+F10</f>
        <v>233413</v>
      </c>
      <c r="G7" s="499">
        <f>G8+G9+G10</f>
        <v>429149</v>
      </c>
      <c r="H7" s="499">
        <f>H8+H9+H10</f>
        <v>131384</v>
      </c>
      <c r="I7" s="499">
        <f>SUM(I8:I10)</f>
        <v>647918</v>
      </c>
      <c r="J7" s="499">
        <f>SUM(J8:J10)</f>
        <v>448417</v>
      </c>
      <c r="K7" s="499">
        <f>SUM(K8:K10)</f>
        <v>455614</v>
      </c>
      <c r="L7" s="499">
        <f>SUM(L8:L10)</f>
        <v>283779</v>
      </c>
      <c r="M7" s="711" t="s">
        <v>0</v>
      </c>
      <c r="N7" s="712"/>
      <c r="O7" s="713" t="s">
        <v>202</v>
      </c>
    </row>
    <row r="8" spans="1:94" ht="35.1" customHeight="1" x14ac:dyDescent="0.95">
      <c r="A8" s="500">
        <f>E8+I8</f>
        <v>202933</v>
      </c>
      <c r="B8" s="501">
        <f t="shared" si="0"/>
        <v>66216</v>
      </c>
      <c r="C8" s="501">
        <f t="shared" si="0"/>
        <v>66852</v>
      </c>
      <c r="D8" s="501">
        <f>H8+L8</f>
        <v>29112</v>
      </c>
      <c r="E8" s="500">
        <v>195736</v>
      </c>
      <c r="F8" s="501">
        <v>65603</v>
      </c>
      <c r="G8" s="501">
        <v>66239</v>
      </c>
      <c r="H8" s="501">
        <v>16366</v>
      </c>
      <c r="I8" s="501">
        <v>7197</v>
      </c>
      <c r="J8" s="501">
        <v>613</v>
      </c>
      <c r="K8" s="501">
        <v>613</v>
      </c>
      <c r="L8" s="501">
        <v>12746</v>
      </c>
      <c r="M8" s="716" t="s">
        <v>41</v>
      </c>
      <c r="N8" s="717"/>
      <c r="O8" s="714"/>
    </row>
    <row r="9" spans="1:94" ht="35.1" customHeight="1" x14ac:dyDescent="0.7">
      <c r="A9" s="502">
        <f>E9+I9</f>
        <v>640721</v>
      </c>
      <c r="B9" s="503">
        <f t="shared" si="0"/>
        <v>447804</v>
      </c>
      <c r="C9" s="503">
        <f t="shared" si="0"/>
        <v>491504</v>
      </c>
      <c r="D9" s="503">
        <f t="shared" si="0"/>
        <v>386051</v>
      </c>
      <c r="E9" s="502">
        <v>0</v>
      </c>
      <c r="F9" s="503">
        <v>0</v>
      </c>
      <c r="G9" s="503">
        <v>36503</v>
      </c>
      <c r="H9" s="503">
        <v>115018</v>
      </c>
      <c r="I9" s="503">
        <v>640721</v>
      </c>
      <c r="J9" s="503">
        <v>447804</v>
      </c>
      <c r="K9" s="503">
        <v>455001</v>
      </c>
      <c r="L9" s="503">
        <v>271033</v>
      </c>
      <c r="M9" s="718" t="s">
        <v>184</v>
      </c>
      <c r="N9" s="719"/>
      <c r="O9" s="714"/>
      <c r="P9" s="504"/>
      <c r="Q9" s="485"/>
    </row>
    <row r="10" spans="1:94" ht="35.1" customHeight="1" thickBot="1" x14ac:dyDescent="1">
      <c r="A10" s="505">
        <f t="shared" si="0"/>
        <v>0</v>
      </c>
      <c r="B10" s="506">
        <f t="shared" si="0"/>
        <v>167810</v>
      </c>
      <c r="C10" s="506">
        <f t="shared" si="0"/>
        <v>326407</v>
      </c>
      <c r="D10" s="506">
        <f t="shared" si="0"/>
        <v>0</v>
      </c>
      <c r="E10" s="507">
        <v>0</v>
      </c>
      <c r="F10" s="506">
        <v>167810</v>
      </c>
      <c r="G10" s="506">
        <v>326407</v>
      </c>
      <c r="H10" s="506">
        <v>0</v>
      </c>
      <c r="I10" s="506">
        <v>0</v>
      </c>
      <c r="J10" s="506">
        <v>0</v>
      </c>
      <c r="K10" s="506">
        <v>0</v>
      </c>
      <c r="L10" s="506">
        <v>0</v>
      </c>
      <c r="M10" s="720" t="s">
        <v>206</v>
      </c>
      <c r="N10" s="721"/>
      <c r="O10" s="715"/>
    </row>
    <row r="11" spans="1:94" ht="45" customHeight="1" thickBot="1" x14ac:dyDescent="1">
      <c r="A11" s="509">
        <f t="shared" ref="A11:L11" si="2">SUM(A12:A14)</f>
        <v>221872</v>
      </c>
      <c r="B11" s="509">
        <f t="shared" si="2"/>
        <v>115949</v>
      </c>
      <c r="C11" s="509">
        <f t="shared" si="2"/>
        <v>143821</v>
      </c>
      <c r="D11" s="509">
        <f>SUM(D12:D14)</f>
        <v>75856</v>
      </c>
      <c r="E11" s="509">
        <f t="shared" si="2"/>
        <v>20516</v>
      </c>
      <c r="F11" s="509">
        <f t="shared" si="2"/>
        <v>29484</v>
      </c>
      <c r="G11" s="509">
        <f t="shared" si="2"/>
        <v>50000</v>
      </c>
      <c r="H11" s="509">
        <f t="shared" si="2"/>
        <v>0</v>
      </c>
      <c r="I11" s="509">
        <f t="shared" si="2"/>
        <v>201356</v>
      </c>
      <c r="J11" s="509">
        <f t="shared" si="2"/>
        <v>86465</v>
      </c>
      <c r="K11" s="509">
        <f t="shared" si="2"/>
        <v>93821</v>
      </c>
      <c r="L11" s="509">
        <f t="shared" si="2"/>
        <v>75856</v>
      </c>
      <c r="M11" s="722" t="s">
        <v>18</v>
      </c>
      <c r="N11" s="723"/>
      <c r="O11" s="724" t="s">
        <v>203</v>
      </c>
    </row>
    <row r="12" spans="1:94" ht="35.1" customHeight="1" x14ac:dyDescent="0.95">
      <c r="A12" s="510">
        <f t="shared" ref="A12:D13" si="3">I12+E12</f>
        <v>27872</v>
      </c>
      <c r="B12" s="511">
        <f t="shared" si="3"/>
        <v>1321</v>
      </c>
      <c r="C12" s="511">
        <f t="shared" si="3"/>
        <v>1321</v>
      </c>
      <c r="D12" s="511">
        <f t="shared" si="3"/>
        <v>0</v>
      </c>
      <c r="E12" s="511">
        <v>20516</v>
      </c>
      <c r="F12" s="511">
        <v>0</v>
      </c>
      <c r="G12" s="511">
        <v>0</v>
      </c>
      <c r="H12" s="511">
        <v>0</v>
      </c>
      <c r="I12" s="511">
        <v>7356</v>
      </c>
      <c r="J12" s="511">
        <v>1321</v>
      </c>
      <c r="K12" s="511">
        <v>1321</v>
      </c>
      <c r="L12" s="511">
        <v>0</v>
      </c>
      <c r="M12" s="725" t="s">
        <v>41</v>
      </c>
      <c r="N12" s="726"/>
      <c r="O12" s="714"/>
    </row>
    <row r="13" spans="1:94" ht="35.1" customHeight="1" x14ac:dyDescent="0.7">
      <c r="A13" s="502">
        <f t="shared" si="3"/>
        <v>194000</v>
      </c>
      <c r="B13" s="503">
        <f t="shared" si="3"/>
        <v>114628</v>
      </c>
      <c r="C13" s="503">
        <f t="shared" si="3"/>
        <v>142500</v>
      </c>
      <c r="D13" s="503">
        <f t="shared" si="3"/>
        <v>75856</v>
      </c>
      <c r="E13" s="503">
        <v>0</v>
      </c>
      <c r="F13" s="503">
        <v>29484</v>
      </c>
      <c r="G13" s="503">
        <v>50000</v>
      </c>
      <c r="H13" s="503">
        <v>0</v>
      </c>
      <c r="I13" s="503">
        <v>194000</v>
      </c>
      <c r="J13" s="503">
        <v>85144</v>
      </c>
      <c r="K13" s="503">
        <v>92500</v>
      </c>
      <c r="L13" s="503">
        <v>75856</v>
      </c>
      <c r="M13" s="718" t="s">
        <v>296</v>
      </c>
      <c r="N13" s="719"/>
      <c r="O13" s="714"/>
      <c r="P13" s="504"/>
      <c r="Q13" s="485"/>
    </row>
    <row r="14" spans="1:94" ht="35.1" customHeight="1" thickBot="1" x14ac:dyDescent="1">
      <c r="A14" s="505">
        <v>0</v>
      </c>
      <c r="B14" s="506">
        <v>0</v>
      </c>
      <c r="C14" s="506">
        <v>0</v>
      </c>
      <c r="D14" s="506">
        <v>0</v>
      </c>
      <c r="E14" s="506">
        <v>0</v>
      </c>
      <c r="F14" s="506">
        <v>0</v>
      </c>
      <c r="G14" s="506">
        <v>0</v>
      </c>
      <c r="H14" s="506">
        <v>0</v>
      </c>
      <c r="I14" s="506">
        <v>0</v>
      </c>
      <c r="J14" s="506">
        <v>0</v>
      </c>
      <c r="K14" s="506">
        <v>0</v>
      </c>
      <c r="L14" s="506">
        <v>0</v>
      </c>
      <c r="M14" s="720" t="s">
        <v>206</v>
      </c>
      <c r="N14" s="721"/>
      <c r="O14" s="715"/>
    </row>
    <row r="15" spans="1:94" ht="4.5" customHeight="1" thickBot="1" x14ac:dyDescent="1">
      <c r="A15" s="512"/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3"/>
      <c r="N15" s="514"/>
      <c r="O15" s="514"/>
    </row>
    <row r="16" spans="1:94" ht="45" customHeight="1" thickBot="1" x14ac:dyDescent="1">
      <c r="A16" s="508">
        <f t="shared" ref="A16:C18" si="4">E16+I16</f>
        <v>298288</v>
      </c>
      <c r="B16" s="509">
        <f t="shared" si="4"/>
        <v>242827</v>
      </c>
      <c r="C16" s="509">
        <f t="shared" si="4"/>
        <v>541115</v>
      </c>
      <c r="D16" s="509">
        <f>L16+H16</f>
        <v>189501</v>
      </c>
      <c r="E16" s="509">
        <f>E17+E18</f>
        <v>80448</v>
      </c>
      <c r="F16" s="509">
        <f>F17+F18</f>
        <v>56877</v>
      </c>
      <c r="G16" s="509">
        <f>G17+G18</f>
        <v>137325</v>
      </c>
      <c r="H16" s="509">
        <f>H17+H18</f>
        <v>185871</v>
      </c>
      <c r="I16" s="509">
        <f>SUM(I17:I18)</f>
        <v>217840</v>
      </c>
      <c r="J16" s="509">
        <f>SUM(J17:J18)</f>
        <v>185950</v>
      </c>
      <c r="K16" s="509">
        <f>SUM(K17:K18)</f>
        <v>403790</v>
      </c>
      <c r="L16" s="509">
        <f>SUM(L17:L18)</f>
        <v>3630</v>
      </c>
      <c r="M16" s="515" t="s">
        <v>0</v>
      </c>
      <c r="N16" s="697" t="s">
        <v>201</v>
      </c>
      <c r="O16" s="699"/>
    </row>
    <row r="17" spans="1:94" ht="35.1" customHeight="1" x14ac:dyDescent="0.95">
      <c r="A17" s="500">
        <f t="shared" si="4"/>
        <v>298288</v>
      </c>
      <c r="B17" s="500">
        <f t="shared" si="4"/>
        <v>73377</v>
      </c>
      <c r="C17" s="500">
        <f t="shared" si="4"/>
        <v>103763</v>
      </c>
      <c r="D17" s="500">
        <f>L17+H17</f>
        <v>137279</v>
      </c>
      <c r="E17" s="511">
        <v>80448</v>
      </c>
      <c r="F17" s="511">
        <v>30327</v>
      </c>
      <c r="G17" s="511">
        <v>53975</v>
      </c>
      <c r="H17" s="511">
        <v>135749</v>
      </c>
      <c r="I17" s="511">
        <v>217840</v>
      </c>
      <c r="J17" s="511">
        <v>43050</v>
      </c>
      <c r="K17" s="511">
        <v>49788</v>
      </c>
      <c r="L17" s="511">
        <v>1530</v>
      </c>
      <c r="M17" s="516" t="s">
        <v>42</v>
      </c>
      <c r="N17" s="705"/>
      <c r="O17" s="706"/>
    </row>
    <row r="18" spans="1:94" ht="35.1" customHeight="1" thickBot="1" x14ac:dyDescent="1">
      <c r="A18" s="505">
        <f t="shared" si="4"/>
        <v>0</v>
      </c>
      <c r="B18" s="517">
        <f t="shared" si="4"/>
        <v>169450</v>
      </c>
      <c r="C18" s="517">
        <f t="shared" si="4"/>
        <v>437352</v>
      </c>
      <c r="D18" s="517">
        <f>L18+H18</f>
        <v>52222</v>
      </c>
      <c r="E18" s="517">
        <v>0</v>
      </c>
      <c r="F18" s="517">
        <v>26550</v>
      </c>
      <c r="G18" s="517">
        <v>83350</v>
      </c>
      <c r="H18" s="517">
        <v>50122</v>
      </c>
      <c r="I18" s="517">
        <v>0</v>
      </c>
      <c r="J18" s="517">
        <v>142900</v>
      </c>
      <c r="K18" s="517">
        <v>354002</v>
      </c>
      <c r="L18" s="517">
        <v>2100</v>
      </c>
      <c r="M18" s="598" t="s">
        <v>43</v>
      </c>
      <c r="N18" s="707"/>
      <c r="O18" s="708"/>
    </row>
    <row r="19" spans="1:94" ht="6.75" customHeight="1" thickBot="1" x14ac:dyDescent="1">
      <c r="A19" s="512"/>
      <c r="B19" s="518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9"/>
      <c r="N19" s="520"/>
      <c r="O19" s="520"/>
    </row>
    <row r="20" spans="1:94" ht="35.1" customHeight="1" thickBot="1" x14ac:dyDescent="1">
      <c r="A20" s="508">
        <f>E20+I20</f>
        <v>0</v>
      </c>
      <c r="B20" s="509">
        <v>0</v>
      </c>
      <c r="C20" s="509">
        <v>0</v>
      </c>
      <c r="D20" s="509">
        <v>0</v>
      </c>
      <c r="E20" s="509">
        <v>0</v>
      </c>
      <c r="F20" s="509">
        <v>0</v>
      </c>
      <c r="G20" s="509">
        <v>0</v>
      </c>
      <c r="H20" s="509">
        <v>0</v>
      </c>
      <c r="I20" s="509">
        <v>0</v>
      </c>
      <c r="J20" s="509">
        <v>0</v>
      </c>
      <c r="K20" s="509">
        <v>0</v>
      </c>
      <c r="L20" s="509">
        <v>0</v>
      </c>
      <c r="M20" s="730" t="s">
        <v>46</v>
      </c>
      <c r="N20" s="728"/>
      <c r="O20" s="729"/>
    </row>
    <row r="21" spans="1:94" ht="5.25" customHeight="1" thickBot="1" x14ac:dyDescent="1">
      <c r="A21" s="512"/>
      <c r="B21" s="518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9"/>
      <c r="N21" s="521"/>
      <c r="O21" s="521"/>
    </row>
    <row r="22" spans="1:94" ht="35.1" customHeight="1" thickBot="1" x14ac:dyDescent="1">
      <c r="A22" s="508">
        <f>E22+I22</f>
        <v>0</v>
      </c>
      <c r="B22" s="509">
        <v>0</v>
      </c>
      <c r="C22" s="509">
        <v>0</v>
      </c>
      <c r="D22" s="509">
        <v>0</v>
      </c>
      <c r="E22" s="509">
        <v>0</v>
      </c>
      <c r="F22" s="509">
        <v>0</v>
      </c>
      <c r="G22" s="509">
        <v>0</v>
      </c>
      <c r="H22" s="509">
        <v>0</v>
      </c>
      <c r="I22" s="509">
        <v>0</v>
      </c>
      <c r="J22" s="509">
        <v>0</v>
      </c>
      <c r="K22" s="509">
        <v>0</v>
      </c>
      <c r="L22" s="509">
        <v>0</v>
      </c>
      <c r="M22" s="730" t="s">
        <v>107</v>
      </c>
      <c r="N22" s="728"/>
      <c r="O22" s="729"/>
    </row>
    <row r="23" spans="1:94" ht="9.75" customHeight="1" thickBot="1" x14ac:dyDescent="1">
      <c r="A23" s="522"/>
      <c r="O23" s="523"/>
    </row>
    <row r="24" spans="1:94" ht="27" customHeight="1" x14ac:dyDescent="0.95">
      <c r="A24" s="731" t="s">
        <v>338</v>
      </c>
      <c r="B24" s="732"/>
      <c r="C24" s="732"/>
      <c r="D24" s="732"/>
      <c r="E24" s="732"/>
      <c r="F24" s="732"/>
      <c r="G24" s="732"/>
      <c r="H24" s="732"/>
      <c r="I24" s="732"/>
      <c r="J24" s="732"/>
      <c r="K24" s="732"/>
      <c r="L24" s="732"/>
      <c r="M24" s="732"/>
      <c r="N24" s="732"/>
      <c r="O24" s="733"/>
    </row>
    <row r="25" spans="1:94" ht="35.25" customHeight="1" x14ac:dyDescent="0.95">
      <c r="A25" s="734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</row>
    <row r="26" spans="1:94" x14ac:dyDescent="0.95">
      <c r="A26" s="737"/>
      <c r="B26" s="738"/>
      <c r="C26" s="738"/>
      <c r="D26" s="738"/>
      <c r="E26" s="738"/>
      <c r="F26" s="738"/>
      <c r="G26" s="738"/>
      <c r="H26" s="738"/>
      <c r="I26" s="738"/>
      <c r="J26" s="738"/>
      <c r="K26" s="738"/>
      <c r="L26" s="738"/>
      <c r="M26" s="738"/>
      <c r="N26" s="738"/>
      <c r="O26" s="739"/>
    </row>
    <row r="27" spans="1:94" ht="32.25" thickBot="1" x14ac:dyDescent="1">
      <c r="A27" s="740" t="s">
        <v>339</v>
      </c>
      <c r="B27" s="741"/>
      <c r="C27" s="741"/>
      <c r="D27" s="741"/>
      <c r="E27" s="741"/>
      <c r="F27" s="741"/>
      <c r="G27" s="741"/>
      <c r="H27" s="741"/>
      <c r="I27" s="741"/>
      <c r="J27" s="741"/>
      <c r="K27" s="741"/>
      <c r="L27" s="741"/>
      <c r="M27" s="741"/>
      <c r="N27" s="741"/>
      <c r="O27" s="742"/>
    </row>
    <row r="28" spans="1:94" s="527" customFormat="1" ht="35.25" customHeight="1" thickBot="1" x14ac:dyDescent="1">
      <c r="A28" s="611"/>
      <c r="B28" s="600"/>
      <c r="C28" s="600" t="s">
        <v>340</v>
      </c>
      <c r="D28" s="600"/>
      <c r="E28" s="600"/>
      <c r="F28" s="727" t="s">
        <v>336</v>
      </c>
      <c r="G28" s="727"/>
      <c r="H28" s="727"/>
      <c r="I28" s="727"/>
      <c r="J28" s="727"/>
      <c r="K28" s="600"/>
      <c r="L28" s="600"/>
      <c r="M28" s="728" t="s">
        <v>335</v>
      </c>
      <c r="N28" s="728"/>
      <c r="O28" s="729"/>
      <c r="P28" s="524"/>
      <c r="Q28" s="478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6"/>
      <c r="AD28" s="526"/>
      <c r="AE28" s="526"/>
      <c r="AF28" s="526"/>
      <c r="AG28" s="526"/>
      <c r="AH28" s="526"/>
      <c r="AI28" s="526"/>
      <c r="AJ28" s="526"/>
      <c r="AK28" s="526"/>
      <c r="AL28" s="526"/>
      <c r="AM28" s="526"/>
      <c r="AN28" s="526"/>
      <c r="AO28" s="526"/>
      <c r="AP28" s="526"/>
      <c r="AQ28" s="526"/>
      <c r="AR28" s="526"/>
      <c r="AS28" s="526"/>
      <c r="AT28" s="526"/>
      <c r="AU28" s="526"/>
      <c r="AV28" s="526"/>
      <c r="AW28" s="526"/>
      <c r="AX28" s="526"/>
      <c r="AY28" s="526"/>
      <c r="AZ28" s="526"/>
      <c r="BA28" s="526"/>
      <c r="BB28" s="526"/>
      <c r="BC28" s="526"/>
      <c r="BD28" s="526"/>
      <c r="BE28" s="526"/>
      <c r="BF28" s="526"/>
      <c r="BG28" s="526"/>
      <c r="BH28" s="526"/>
      <c r="BI28" s="526"/>
      <c r="BJ28" s="526"/>
      <c r="BK28" s="526"/>
      <c r="BL28" s="526"/>
      <c r="BM28" s="526"/>
      <c r="BN28" s="526"/>
      <c r="BO28" s="526"/>
      <c r="BP28" s="526"/>
      <c r="BQ28" s="526"/>
      <c r="BR28" s="526"/>
      <c r="BS28" s="526"/>
      <c r="BT28" s="526"/>
      <c r="BU28" s="526"/>
      <c r="BV28" s="526"/>
      <c r="BW28" s="526"/>
      <c r="BX28" s="526"/>
      <c r="BY28" s="526"/>
      <c r="BZ28" s="526"/>
      <c r="CA28" s="526"/>
      <c r="CB28" s="526"/>
      <c r="CC28" s="526"/>
      <c r="CD28" s="526"/>
      <c r="CE28" s="526"/>
      <c r="CF28" s="526"/>
      <c r="CG28" s="526"/>
      <c r="CH28" s="526"/>
      <c r="CI28" s="526"/>
      <c r="CJ28" s="526"/>
      <c r="CK28" s="526"/>
      <c r="CL28" s="526"/>
      <c r="CM28" s="526"/>
      <c r="CN28" s="526"/>
      <c r="CO28" s="526"/>
      <c r="CP28" s="526"/>
    </row>
    <row r="29" spans="1:94" ht="30" customHeight="1" x14ac:dyDescent="0.95"/>
    <row r="30" spans="1:94" ht="20.100000000000001" customHeight="1" x14ac:dyDescent="0.95"/>
    <row r="31" spans="1:94" ht="30" customHeight="1" x14ac:dyDescent="0.95"/>
    <row r="32" spans="1:94" ht="24.95" customHeight="1" x14ac:dyDescent="0.95"/>
    <row r="33" ht="20.100000000000001" customHeight="1" x14ac:dyDescent="0.95"/>
    <row r="34" ht="20.100000000000001" customHeight="1" x14ac:dyDescent="0.95"/>
    <row r="35" ht="20.100000000000001" customHeight="1" x14ac:dyDescent="0.95"/>
    <row r="36" ht="20.100000000000001" customHeight="1" x14ac:dyDescent="0.95"/>
    <row r="37" ht="20.100000000000001" customHeight="1" x14ac:dyDescent="0.95"/>
    <row r="38" ht="20.100000000000001" customHeight="1" x14ac:dyDescent="0.95"/>
    <row r="39" ht="24.95" customHeight="1" x14ac:dyDescent="0.95"/>
    <row r="40" ht="20.100000000000001" customHeight="1" x14ac:dyDescent="0.95"/>
    <row r="41" ht="20.100000000000001" customHeight="1" x14ac:dyDescent="0.95"/>
    <row r="42" ht="20.100000000000001" customHeight="1" x14ac:dyDescent="0.95"/>
    <row r="43" ht="20.100000000000001" customHeight="1" x14ac:dyDescent="0.95"/>
    <row r="44" ht="20.100000000000001" customHeight="1" x14ac:dyDescent="0.95"/>
    <row r="45" ht="20.100000000000001" customHeight="1" x14ac:dyDescent="0.95"/>
    <row r="46" ht="30" customHeight="1" x14ac:dyDescent="0.95"/>
    <row r="47" ht="20.100000000000001" customHeight="1" x14ac:dyDescent="0.95"/>
    <row r="48" ht="20.100000000000001" customHeight="1" x14ac:dyDescent="0.95"/>
    <row r="49" ht="20.100000000000001" customHeight="1" x14ac:dyDescent="0.95"/>
    <row r="50" ht="20.100000000000001" customHeight="1" x14ac:dyDescent="0.95"/>
    <row r="51" ht="20.100000000000001" customHeight="1" x14ac:dyDescent="0.95"/>
    <row r="52" ht="20.100000000000001" customHeight="1" x14ac:dyDescent="0.95"/>
    <row r="53" ht="20.100000000000001" customHeight="1" x14ac:dyDescent="0.95"/>
    <row r="54" ht="20.100000000000001" customHeight="1" x14ac:dyDescent="0.95"/>
    <row r="55" ht="20.100000000000001" customHeight="1" x14ac:dyDescent="0.95"/>
    <row r="56" ht="20.100000000000001" customHeight="1" x14ac:dyDescent="0.95"/>
    <row r="57" ht="20.100000000000001" customHeight="1" x14ac:dyDescent="0.95"/>
    <row r="58" ht="33.75" customHeight="1" x14ac:dyDescent="0.95"/>
  </sheetData>
  <mergeCells count="29">
    <mergeCell ref="F28:J28"/>
    <mergeCell ref="M28:O28"/>
    <mergeCell ref="M20:O20"/>
    <mergeCell ref="M22:O22"/>
    <mergeCell ref="A24:O24"/>
    <mergeCell ref="A25:O25"/>
    <mergeCell ref="A26:O26"/>
    <mergeCell ref="A27:O27"/>
    <mergeCell ref="N16:O18"/>
    <mergeCell ref="M6:O6"/>
    <mergeCell ref="M7:N7"/>
    <mergeCell ref="O7:O10"/>
    <mergeCell ref="M8:N8"/>
    <mergeCell ref="M9:N9"/>
    <mergeCell ref="M10:N10"/>
    <mergeCell ref="M11:N11"/>
    <mergeCell ref="O11:O14"/>
    <mergeCell ref="M12:N12"/>
    <mergeCell ref="M13:N13"/>
    <mergeCell ref="M14:N14"/>
    <mergeCell ref="A4:D4"/>
    <mergeCell ref="E4:H4"/>
    <mergeCell ref="I4:L4"/>
    <mergeCell ref="M4:O5"/>
    <mergeCell ref="A2:B3"/>
    <mergeCell ref="J2:L2"/>
    <mergeCell ref="M2:O2"/>
    <mergeCell ref="K3:L3"/>
    <mergeCell ref="M3:O3"/>
  </mergeCells>
  <printOptions horizontalCentered="1" verticalCentered="1"/>
  <pageMargins left="0" right="0" top="0.31496062992125984" bottom="0" header="0.31496062992125984" footer="0.15748031496062992"/>
  <pageSetup paperSize="9" scale="68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="130" zoomScaleNormal="130" workbookViewId="0">
      <selection activeCell="N19" sqref="N19:O19"/>
    </sheetView>
  </sheetViews>
  <sheetFormatPr defaultRowHeight="12.75" x14ac:dyDescent="0.2"/>
  <cols>
    <col min="1" max="1" width="9.28515625" style="195" bestFit="1" customWidth="1"/>
    <col min="2" max="2" width="10.28515625" style="195" bestFit="1" customWidth="1"/>
    <col min="3" max="7" width="9.28515625" style="195" bestFit="1" customWidth="1"/>
    <col min="8" max="9" width="9.140625" style="195" customWidth="1"/>
    <col min="10" max="10" width="9.28515625" style="195" bestFit="1" customWidth="1"/>
    <col min="11" max="11" width="10.42578125" style="195" bestFit="1" customWidth="1"/>
    <col min="12" max="13" width="9.140625" style="195" customWidth="1"/>
    <col min="14" max="14" width="34" style="195" customWidth="1"/>
    <col min="15" max="15" width="12.42578125" style="195" bestFit="1" customWidth="1"/>
  </cols>
  <sheetData>
    <row r="1" spans="1:15" ht="21.75" customHeight="1" x14ac:dyDescent="0.2">
      <c r="A1" s="748" t="s">
        <v>20</v>
      </c>
      <c r="B1" s="749"/>
      <c r="C1" s="604"/>
      <c r="D1" s="604"/>
      <c r="E1" s="154"/>
      <c r="F1" s="154"/>
      <c r="G1" s="154"/>
      <c r="H1" s="154"/>
      <c r="I1" s="154"/>
      <c r="J1" s="154"/>
      <c r="K1" s="752" t="s">
        <v>329</v>
      </c>
      <c r="L1" s="752"/>
      <c r="M1" s="753"/>
      <c r="N1" s="754" t="s">
        <v>307</v>
      </c>
      <c r="O1" s="755"/>
    </row>
    <row r="2" spans="1:15" ht="15.75" customHeight="1" thickBot="1" x14ac:dyDescent="0.25">
      <c r="A2" s="750"/>
      <c r="B2" s="751"/>
      <c r="C2" s="605"/>
      <c r="D2" s="605"/>
      <c r="E2" s="387"/>
      <c r="F2" s="387"/>
      <c r="G2" s="387"/>
      <c r="H2" s="387"/>
      <c r="I2" s="387"/>
      <c r="J2" s="387"/>
      <c r="K2" s="756" t="s">
        <v>331</v>
      </c>
      <c r="L2" s="756"/>
      <c r="M2" s="757"/>
      <c r="N2" s="758" t="s">
        <v>286</v>
      </c>
      <c r="O2" s="759"/>
    </row>
    <row r="3" spans="1:15" ht="20.25" thickBot="1" x14ac:dyDescent="0.25">
      <c r="A3" s="760" t="s">
        <v>310</v>
      </c>
      <c r="B3" s="762" t="s">
        <v>309</v>
      </c>
      <c r="C3" s="763"/>
      <c r="D3" s="763"/>
      <c r="E3" s="763"/>
      <c r="F3" s="763"/>
      <c r="G3" s="764" t="s">
        <v>256</v>
      </c>
      <c r="H3" s="762" t="s">
        <v>308</v>
      </c>
      <c r="I3" s="763"/>
      <c r="J3" s="763"/>
      <c r="K3" s="763"/>
      <c r="L3" s="763"/>
      <c r="M3" s="764" t="s">
        <v>255</v>
      </c>
      <c r="N3" s="768" t="s">
        <v>36</v>
      </c>
      <c r="O3" s="764" t="s">
        <v>34</v>
      </c>
    </row>
    <row r="4" spans="1:15" ht="72.75" customHeight="1" thickBot="1" x14ac:dyDescent="0.25">
      <c r="A4" s="761"/>
      <c r="B4" s="155" t="s">
        <v>0</v>
      </c>
      <c r="C4" s="156" t="s">
        <v>226</v>
      </c>
      <c r="D4" s="156" t="s">
        <v>207</v>
      </c>
      <c r="E4" s="157" t="s">
        <v>185</v>
      </c>
      <c r="F4" s="158" t="s">
        <v>2</v>
      </c>
      <c r="G4" s="765"/>
      <c r="H4" s="155" t="s">
        <v>0</v>
      </c>
      <c r="I4" s="156" t="s">
        <v>226</v>
      </c>
      <c r="J4" s="156" t="s">
        <v>207</v>
      </c>
      <c r="K4" s="157" t="s">
        <v>185</v>
      </c>
      <c r="L4" s="158" t="s">
        <v>2</v>
      </c>
      <c r="M4" s="765"/>
      <c r="N4" s="769"/>
      <c r="O4" s="770"/>
    </row>
    <row r="5" spans="1:15" ht="20.25" thickBot="1" x14ac:dyDescent="0.25">
      <c r="A5" s="159">
        <f>H5+B5</f>
        <v>1065526</v>
      </c>
      <c r="B5" s="160">
        <f t="shared" ref="B5:M5" si="0">B6+B15</f>
        <v>221872</v>
      </c>
      <c r="C5" s="161">
        <f t="shared" si="0"/>
        <v>0</v>
      </c>
      <c r="D5" s="161">
        <f t="shared" si="0"/>
        <v>0</v>
      </c>
      <c r="E5" s="162">
        <f t="shared" si="0"/>
        <v>194000</v>
      </c>
      <c r="F5" s="430">
        <f t="shared" si="0"/>
        <v>27872</v>
      </c>
      <c r="G5" s="159">
        <f t="shared" si="0"/>
        <v>115949</v>
      </c>
      <c r="H5" s="612">
        <f t="shared" si="0"/>
        <v>843654</v>
      </c>
      <c r="I5" s="161">
        <f t="shared" si="0"/>
        <v>0</v>
      </c>
      <c r="J5" s="161">
        <f t="shared" si="0"/>
        <v>0</v>
      </c>
      <c r="K5" s="161">
        <f t="shared" si="0"/>
        <v>640721</v>
      </c>
      <c r="L5" s="162">
        <f t="shared" si="0"/>
        <v>202933</v>
      </c>
      <c r="M5" s="159">
        <f t="shared" si="0"/>
        <v>517192</v>
      </c>
      <c r="N5" s="771" t="s">
        <v>35</v>
      </c>
      <c r="O5" s="772"/>
    </row>
    <row r="6" spans="1:15" ht="21" thickTop="1" thickBot="1" x14ac:dyDescent="0.65">
      <c r="A6" s="163">
        <f t="shared" ref="A6:A17" si="1">H6+B6</f>
        <v>849274</v>
      </c>
      <c r="B6" s="164">
        <f>SUM(B7:B14)</f>
        <v>201356</v>
      </c>
      <c r="C6" s="165">
        <f>SUM(C7:C14)</f>
        <v>0</v>
      </c>
      <c r="D6" s="165">
        <f>SUM(D7:D14)</f>
        <v>0</v>
      </c>
      <c r="E6" s="166">
        <f t="shared" ref="E6:M6" si="2">SUM(E7:E14)</f>
        <v>194000</v>
      </c>
      <c r="F6" s="431">
        <f t="shared" si="2"/>
        <v>7356</v>
      </c>
      <c r="G6" s="163">
        <f t="shared" si="2"/>
        <v>86465</v>
      </c>
      <c r="H6" s="613">
        <f>SUM(H7:H14)</f>
        <v>647918</v>
      </c>
      <c r="I6" s="165">
        <f t="shared" si="2"/>
        <v>0</v>
      </c>
      <c r="J6" s="165">
        <f t="shared" si="2"/>
        <v>0</v>
      </c>
      <c r="K6" s="165">
        <f t="shared" si="2"/>
        <v>640721</v>
      </c>
      <c r="L6" s="166">
        <f t="shared" si="2"/>
        <v>7197</v>
      </c>
      <c r="M6" s="167">
        <f t="shared" si="2"/>
        <v>283779</v>
      </c>
      <c r="N6" s="773" t="s">
        <v>27</v>
      </c>
      <c r="O6" s="774"/>
    </row>
    <row r="7" spans="1:15" ht="20.25" thickBot="1" x14ac:dyDescent="0.25">
      <c r="A7" s="168">
        <f>H7+B7</f>
        <v>849274</v>
      </c>
      <c r="B7" s="169">
        <f>SUM(C7:F7)</f>
        <v>201356</v>
      </c>
      <c r="C7" s="170">
        <v>0</v>
      </c>
      <c r="D7" s="171">
        <v>0</v>
      </c>
      <c r="E7" s="171">
        <v>194000</v>
      </c>
      <c r="F7" s="528">
        <v>7356</v>
      </c>
      <c r="G7" s="529">
        <v>86465</v>
      </c>
      <c r="H7" s="614">
        <f>SUM(I7:L7)</f>
        <v>647918</v>
      </c>
      <c r="I7" s="530">
        <v>0</v>
      </c>
      <c r="J7" s="171">
        <v>0</v>
      </c>
      <c r="K7" s="171">
        <v>640721</v>
      </c>
      <c r="L7" s="528">
        <v>7197</v>
      </c>
      <c r="M7" s="529">
        <v>283779</v>
      </c>
      <c r="N7" s="172" t="s">
        <v>324</v>
      </c>
      <c r="O7" s="173" t="s">
        <v>323</v>
      </c>
    </row>
    <row r="8" spans="1:15" ht="20.25" thickBot="1" x14ac:dyDescent="0.25">
      <c r="A8" s="168">
        <f t="shared" si="1"/>
        <v>0</v>
      </c>
      <c r="B8" s="169">
        <f>SUM(C8:F8)</f>
        <v>0</v>
      </c>
      <c r="C8" s="159">
        <f>J8+D8</f>
        <v>0</v>
      </c>
      <c r="D8" s="174">
        <v>0</v>
      </c>
      <c r="E8" s="174">
        <v>0</v>
      </c>
      <c r="F8" s="531">
        <v>0</v>
      </c>
      <c r="G8" s="532">
        <v>0</v>
      </c>
      <c r="H8" s="614">
        <v>0</v>
      </c>
      <c r="I8" s="533">
        <v>0</v>
      </c>
      <c r="J8" s="174">
        <v>0</v>
      </c>
      <c r="K8" s="174">
        <v>0</v>
      </c>
      <c r="L8" s="531">
        <v>0</v>
      </c>
      <c r="M8" s="532">
        <v>0</v>
      </c>
      <c r="N8" s="172" t="s">
        <v>341</v>
      </c>
      <c r="O8" s="173"/>
    </row>
    <row r="9" spans="1:15" ht="21" hidden="1" thickTop="1" thickBot="1" x14ac:dyDescent="0.25">
      <c r="A9" s="168">
        <f t="shared" si="1"/>
        <v>0</v>
      </c>
      <c r="B9" s="169"/>
      <c r="C9" s="170"/>
      <c r="D9" s="174"/>
      <c r="E9" s="174"/>
      <c r="F9" s="531"/>
      <c r="G9" s="532"/>
      <c r="H9" s="614"/>
      <c r="I9" s="533"/>
      <c r="J9" s="174"/>
      <c r="K9" s="174"/>
      <c r="L9" s="531"/>
      <c r="M9" s="532"/>
      <c r="N9" s="172"/>
      <c r="O9" s="173"/>
    </row>
    <row r="10" spans="1:15" ht="21" hidden="1" thickTop="1" thickBot="1" x14ac:dyDescent="0.25">
      <c r="A10" s="168">
        <f t="shared" si="1"/>
        <v>0</v>
      </c>
      <c r="B10" s="169"/>
      <c r="C10" s="170"/>
      <c r="D10" s="174"/>
      <c r="E10" s="174"/>
      <c r="F10" s="531"/>
      <c r="G10" s="532"/>
      <c r="H10" s="614"/>
      <c r="I10" s="533"/>
      <c r="J10" s="174"/>
      <c r="K10" s="174"/>
      <c r="L10" s="531"/>
      <c r="M10" s="532"/>
      <c r="N10" s="172"/>
      <c r="O10" s="173"/>
    </row>
    <row r="11" spans="1:15" ht="21" hidden="1" thickTop="1" thickBot="1" x14ac:dyDescent="0.25">
      <c r="A11" s="168">
        <f t="shared" si="1"/>
        <v>0</v>
      </c>
      <c r="B11" s="169"/>
      <c r="C11" s="170"/>
      <c r="D11" s="174"/>
      <c r="E11" s="174"/>
      <c r="F11" s="531"/>
      <c r="G11" s="532"/>
      <c r="H11" s="614"/>
      <c r="I11" s="533"/>
      <c r="J11" s="174"/>
      <c r="K11" s="174"/>
      <c r="L11" s="531"/>
      <c r="M11" s="532"/>
      <c r="N11" s="172"/>
      <c r="O11" s="173"/>
    </row>
    <row r="12" spans="1:15" ht="21" hidden="1" thickTop="1" thickBot="1" x14ac:dyDescent="0.25">
      <c r="A12" s="168">
        <f t="shared" si="1"/>
        <v>0</v>
      </c>
      <c r="B12" s="169"/>
      <c r="C12" s="170"/>
      <c r="D12" s="175"/>
      <c r="E12" s="175"/>
      <c r="F12" s="534"/>
      <c r="G12" s="535"/>
      <c r="H12" s="614"/>
      <c r="I12" s="533"/>
      <c r="J12" s="175"/>
      <c r="K12" s="175"/>
      <c r="L12" s="534"/>
      <c r="M12" s="535"/>
      <c r="N12" s="172"/>
      <c r="O12" s="173"/>
    </row>
    <row r="13" spans="1:15" ht="21" hidden="1" thickTop="1" thickBot="1" x14ac:dyDescent="0.25">
      <c r="A13" s="168">
        <f t="shared" si="1"/>
        <v>0</v>
      </c>
      <c r="B13" s="169"/>
      <c r="C13" s="170"/>
      <c r="D13" s="174"/>
      <c r="E13" s="174"/>
      <c r="F13" s="531"/>
      <c r="G13" s="532"/>
      <c r="H13" s="614"/>
      <c r="I13" s="533"/>
      <c r="J13" s="174"/>
      <c r="K13" s="174"/>
      <c r="L13" s="531"/>
      <c r="M13" s="532"/>
      <c r="N13" s="172"/>
      <c r="O13" s="173"/>
    </row>
    <row r="14" spans="1:15" ht="21" hidden="1" thickTop="1" thickBot="1" x14ac:dyDescent="0.25">
      <c r="A14" s="168">
        <f t="shared" si="1"/>
        <v>0</v>
      </c>
      <c r="B14" s="176"/>
      <c r="C14" s="177"/>
      <c r="D14" s="175"/>
      <c r="E14" s="175"/>
      <c r="F14" s="534"/>
      <c r="G14" s="535"/>
      <c r="H14" s="615"/>
      <c r="I14" s="536"/>
      <c r="J14" s="175"/>
      <c r="K14" s="175"/>
      <c r="L14" s="534"/>
      <c r="M14" s="535"/>
      <c r="N14" s="178"/>
      <c r="O14" s="179"/>
    </row>
    <row r="15" spans="1:15" ht="21" thickTop="1" thickBot="1" x14ac:dyDescent="0.65">
      <c r="A15" s="180">
        <f t="shared" si="1"/>
        <v>216252</v>
      </c>
      <c r="B15" s="181">
        <f t="shared" ref="B15:M15" si="3">SUM(B16:B18)</f>
        <v>20516</v>
      </c>
      <c r="C15" s="182">
        <f t="shared" si="3"/>
        <v>0</v>
      </c>
      <c r="D15" s="182">
        <f t="shared" si="3"/>
        <v>0</v>
      </c>
      <c r="E15" s="182">
        <f t="shared" si="3"/>
        <v>0</v>
      </c>
      <c r="F15" s="537">
        <f t="shared" si="3"/>
        <v>20516</v>
      </c>
      <c r="G15" s="180">
        <f t="shared" si="3"/>
        <v>29484</v>
      </c>
      <c r="H15" s="616">
        <f t="shared" si="3"/>
        <v>195736</v>
      </c>
      <c r="I15" s="182">
        <f t="shared" si="3"/>
        <v>0</v>
      </c>
      <c r="J15" s="182">
        <f t="shared" si="3"/>
        <v>0</v>
      </c>
      <c r="K15" s="182">
        <f t="shared" si="3"/>
        <v>0</v>
      </c>
      <c r="L15" s="537">
        <f t="shared" si="3"/>
        <v>195736</v>
      </c>
      <c r="M15" s="180">
        <f t="shared" si="3"/>
        <v>233413</v>
      </c>
      <c r="N15" s="743" t="s">
        <v>28</v>
      </c>
      <c r="O15" s="744"/>
    </row>
    <row r="16" spans="1:15" ht="21.75" customHeight="1" x14ac:dyDescent="0.2">
      <c r="A16" s="183">
        <f t="shared" si="1"/>
        <v>195176</v>
      </c>
      <c r="B16" s="184">
        <f>SUM(C16:F16)</f>
        <v>0</v>
      </c>
      <c r="C16" s="185">
        <v>0</v>
      </c>
      <c r="D16" s="174">
        <v>0</v>
      </c>
      <c r="E16" s="174">
        <v>0</v>
      </c>
      <c r="F16" s="528">
        <v>0</v>
      </c>
      <c r="G16" s="529">
        <v>0</v>
      </c>
      <c r="H16" s="538">
        <f>SUM(I16:L16)</f>
        <v>195176</v>
      </c>
      <c r="I16" s="171">
        <v>0</v>
      </c>
      <c r="J16" s="171">
        <v>0</v>
      </c>
      <c r="K16" s="171">
        <v>0</v>
      </c>
      <c r="L16" s="528">
        <v>195176</v>
      </c>
      <c r="M16" s="529">
        <v>174750</v>
      </c>
      <c r="N16" s="172" t="s">
        <v>293</v>
      </c>
      <c r="O16" s="173">
        <v>1805089025</v>
      </c>
    </row>
    <row r="17" spans="1:15" ht="21.75" customHeight="1" x14ac:dyDescent="0.2">
      <c r="A17" s="183">
        <f t="shared" si="1"/>
        <v>21076</v>
      </c>
      <c r="B17" s="184">
        <f>SUM(C17:F17)</f>
        <v>20516</v>
      </c>
      <c r="C17" s="185">
        <v>0</v>
      </c>
      <c r="D17" s="174">
        <v>0</v>
      </c>
      <c r="E17" s="174">
        <v>0</v>
      </c>
      <c r="F17" s="528">
        <v>20516</v>
      </c>
      <c r="G17" s="529">
        <v>29484</v>
      </c>
      <c r="H17" s="538">
        <f>SUM(I17:L17)</f>
        <v>560</v>
      </c>
      <c r="I17" s="171">
        <v>0</v>
      </c>
      <c r="J17" s="171">
        <v>0</v>
      </c>
      <c r="K17" s="171">
        <v>0</v>
      </c>
      <c r="L17" s="528">
        <v>560</v>
      </c>
      <c r="M17" s="529">
        <v>58663</v>
      </c>
      <c r="N17" s="617" t="s">
        <v>342</v>
      </c>
      <c r="O17" s="173"/>
    </row>
    <row r="18" spans="1:15" ht="20.25" hidden="1" thickBot="1" x14ac:dyDescent="0.25">
      <c r="A18" s="167"/>
      <c r="B18" s="186"/>
      <c r="C18" s="187"/>
      <c r="D18" s="188"/>
      <c r="E18" s="188"/>
      <c r="F18" s="539"/>
      <c r="G18" s="540"/>
      <c r="H18" s="541"/>
      <c r="I18" s="542"/>
      <c r="J18" s="543"/>
      <c r="K18" s="543"/>
      <c r="L18" s="544"/>
      <c r="M18" s="545"/>
      <c r="N18" s="189"/>
      <c r="O18" s="190"/>
    </row>
    <row r="19" spans="1:15" ht="19.5" x14ac:dyDescent="0.6">
      <c r="A19" s="191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745" t="s">
        <v>11</v>
      </c>
      <c r="O19" s="746"/>
    </row>
    <row r="20" spans="1:15" ht="20.25" thickBot="1" x14ac:dyDescent="0.65">
      <c r="A20" s="191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388"/>
      <c r="M20" s="388"/>
      <c r="N20" s="389"/>
      <c r="O20" s="193"/>
    </row>
    <row r="21" spans="1:15" ht="20.25" thickBot="1" x14ac:dyDescent="0.65">
      <c r="A21" s="747" t="s">
        <v>336</v>
      </c>
      <c r="B21" s="743"/>
      <c r="C21" s="743"/>
      <c r="D21" s="743"/>
      <c r="E21" s="743"/>
      <c r="F21" s="194"/>
      <c r="G21" s="194"/>
      <c r="H21" s="194"/>
      <c r="I21" s="194"/>
      <c r="J21" s="194"/>
      <c r="K21" s="194"/>
      <c r="L21" s="194"/>
      <c r="M21" s="194"/>
      <c r="N21" s="766" t="s">
        <v>335</v>
      </c>
      <c r="O21" s="767"/>
    </row>
  </sheetData>
  <mergeCells count="18">
    <mergeCell ref="N5:O5"/>
    <mergeCell ref="N6:O6"/>
    <mergeCell ref="N15:O15"/>
    <mergeCell ref="N19:O19"/>
    <mergeCell ref="A21:E21"/>
    <mergeCell ref="A1:B2"/>
    <mergeCell ref="K1:M1"/>
    <mergeCell ref="N1:O1"/>
    <mergeCell ref="K2:M2"/>
    <mergeCell ref="N2:O2"/>
    <mergeCell ref="A3:A4"/>
    <mergeCell ref="B3:F3"/>
    <mergeCell ref="G3:G4"/>
    <mergeCell ref="H3:L3"/>
    <mergeCell ref="M3:M4"/>
    <mergeCell ref="N21:O21"/>
    <mergeCell ref="N3:N4"/>
    <mergeCell ref="O3:O4"/>
  </mergeCells>
  <printOptions horizontalCentered="1"/>
  <pageMargins left="0.11811023622047245" right="0.11811023622047245" top="0.35433070866141736" bottom="0.74803149606299213" header="0.31496062992125984" footer="0.31496062992125984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zoomScale="75" zoomScaleNormal="75" workbookViewId="0">
      <selection activeCell="J9" sqref="J9"/>
    </sheetView>
  </sheetViews>
  <sheetFormatPr defaultRowHeight="23.25" x14ac:dyDescent="0.7"/>
  <cols>
    <col min="1" max="1" width="0.85546875" style="3" customWidth="1"/>
    <col min="2" max="2" width="79.28515625" style="2" customWidth="1"/>
    <col min="3" max="3" width="9.28515625" style="2" customWidth="1"/>
    <col min="4" max="4" width="34.7109375" style="2" customWidth="1"/>
  </cols>
  <sheetData>
    <row r="1" spans="2:8" ht="7.5" customHeight="1" thickBot="1" x14ac:dyDescent="0.75"/>
    <row r="2" spans="2:8" ht="27.75" customHeight="1" x14ac:dyDescent="0.6">
      <c r="B2" s="93" t="e">
        <f>#REF!</f>
        <v>#REF!</v>
      </c>
      <c r="C2" s="775" t="s">
        <v>311</v>
      </c>
      <c r="D2" s="776"/>
    </row>
    <row r="3" spans="2:8" ht="42" customHeight="1" thickBot="1" x14ac:dyDescent="0.65">
      <c r="B3" s="94" t="e">
        <f>#REF!</f>
        <v>#REF!</v>
      </c>
      <c r="C3" s="777" t="s">
        <v>287</v>
      </c>
      <c r="D3" s="778"/>
      <c r="E3" s="1"/>
    </row>
    <row r="4" spans="2:8" ht="23.25" customHeight="1" x14ac:dyDescent="0.6">
      <c r="B4" s="792" t="s">
        <v>300</v>
      </c>
      <c r="C4" s="793"/>
      <c r="D4" s="794"/>
    </row>
    <row r="5" spans="2:8" ht="13.5" customHeight="1" x14ac:dyDescent="0.6">
      <c r="B5" s="795"/>
      <c r="C5" s="796"/>
      <c r="D5" s="797"/>
    </row>
    <row r="6" spans="2:8" ht="59.25" customHeight="1" x14ac:dyDescent="0.6">
      <c r="B6" s="781" t="s">
        <v>325</v>
      </c>
      <c r="C6" s="782"/>
      <c r="D6" s="783"/>
    </row>
    <row r="7" spans="2:8" ht="180.75" customHeight="1" x14ac:dyDescent="0.6">
      <c r="B7" s="784"/>
      <c r="C7" s="785"/>
      <c r="D7" s="786"/>
    </row>
    <row r="8" spans="2:8" ht="62.25" customHeight="1" x14ac:dyDescent="0.6">
      <c r="B8" s="784" t="s">
        <v>326</v>
      </c>
      <c r="C8" s="785"/>
      <c r="D8" s="786"/>
      <c r="H8" s="7" t="s">
        <v>120</v>
      </c>
    </row>
    <row r="9" spans="2:8" ht="108" customHeight="1" x14ac:dyDescent="0.6">
      <c r="B9" s="784"/>
      <c r="C9" s="787"/>
      <c r="D9" s="788"/>
    </row>
    <row r="10" spans="2:8" ht="27.75" customHeight="1" x14ac:dyDescent="0.6">
      <c r="B10" s="781"/>
      <c r="C10" s="782"/>
      <c r="D10" s="783"/>
    </row>
    <row r="11" spans="2:8" ht="27.75" customHeight="1" x14ac:dyDescent="0.6">
      <c r="B11" s="784"/>
      <c r="C11" s="785"/>
      <c r="D11" s="786"/>
    </row>
    <row r="12" spans="2:8" ht="27.75" customHeight="1" x14ac:dyDescent="0.6">
      <c r="B12" s="784"/>
      <c r="C12" s="785"/>
      <c r="D12" s="786"/>
    </row>
    <row r="13" spans="2:8" ht="27.75" customHeight="1" x14ac:dyDescent="0.6">
      <c r="B13" s="784"/>
      <c r="C13" s="787"/>
      <c r="D13" s="788"/>
    </row>
    <row r="14" spans="2:8" ht="27.75" customHeight="1" x14ac:dyDescent="0.6">
      <c r="B14" s="789"/>
      <c r="C14" s="790"/>
      <c r="D14" s="791"/>
    </row>
    <row r="15" spans="2:8" ht="321.75" customHeight="1" x14ac:dyDescent="0.6">
      <c r="B15" s="789"/>
      <c r="C15" s="790"/>
      <c r="D15" s="791"/>
    </row>
    <row r="16" spans="2:8" ht="20.25" customHeight="1" thickBot="1" x14ac:dyDescent="0.75">
      <c r="B16" s="95"/>
      <c r="C16" s="4"/>
      <c r="D16" s="96"/>
    </row>
    <row r="17" spans="2:4" ht="23.25" customHeight="1" thickBot="1" x14ac:dyDescent="0.65">
      <c r="B17" s="97" t="e">
        <f>#REF!</f>
        <v>#REF!</v>
      </c>
      <c r="C17" s="779" t="e">
        <f>#REF!</f>
        <v>#REF!</v>
      </c>
      <c r="D17" s="780"/>
    </row>
    <row r="18" spans="2:4" ht="23.25" customHeight="1" x14ac:dyDescent="0.7"/>
    <row r="19" spans="2:4" ht="23.25" customHeight="1" x14ac:dyDescent="0.7"/>
    <row r="20" spans="2:4" ht="24" customHeight="1" x14ac:dyDescent="0.7"/>
    <row r="21" spans="2:4" ht="23.25" customHeight="1" x14ac:dyDescent="0.7"/>
    <row r="22" spans="2:4" ht="23.25" customHeight="1" x14ac:dyDescent="0.7"/>
    <row r="23" spans="2:4" ht="23.25" customHeight="1" x14ac:dyDescent="0.7"/>
    <row r="24" spans="2:4" ht="23.25" customHeight="1" x14ac:dyDescent="0.7"/>
    <row r="25" spans="2:4" ht="23.25" customHeight="1" x14ac:dyDescent="0.7"/>
    <row r="26" spans="2:4" ht="18.75" customHeight="1" x14ac:dyDescent="0.7"/>
    <row r="27" spans="2:4" ht="24.75" customHeight="1" x14ac:dyDescent="0.7"/>
    <row r="28" spans="2:4" ht="45" customHeight="1" x14ac:dyDescent="0.7"/>
    <row r="29" spans="2:4" ht="23.25" customHeight="1" x14ac:dyDescent="0.7"/>
    <row r="31" spans="2:4" ht="39" customHeight="1" x14ac:dyDescent="0.7"/>
  </sheetData>
  <mergeCells count="14">
    <mergeCell ref="C2:D2"/>
    <mergeCell ref="C3:D3"/>
    <mergeCell ref="C17:D17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4:D5"/>
  </mergeCells>
  <phoneticPr fontId="1" type="noConversion"/>
  <printOptions horizontalCentered="1"/>
  <pageMargins left="0" right="0" top="0.47244094488188981" bottom="0" header="0.27559055118110237" footer="0.35433070866141736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97"/>
  <sheetViews>
    <sheetView topLeftCell="A9" zoomScale="90" zoomScaleNormal="90" workbookViewId="0">
      <selection activeCell="P12" sqref="P12"/>
    </sheetView>
  </sheetViews>
  <sheetFormatPr defaultRowHeight="21.75" x14ac:dyDescent="0.2"/>
  <cols>
    <col min="1" max="1" width="16" style="196" customWidth="1"/>
    <col min="2" max="2" width="12.28515625" style="196" customWidth="1"/>
    <col min="3" max="3" width="10.5703125" style="196" customWidth="1"/>
    <col min="4" max="4" width="11.28515625" style="196" customWidth="1"/>
    <col min="5" max="5" width="7.85546875" style="196" customWidth="1"/>
    <col min="6" max="8" width="9.140625" style="196" customWidth="1"/>
    <col min="9" max="9" width="7.140625" style="196" customWidth="1"/>
    <col min="10" max="10" width="9.140625" style="196" customWidth="1"/>
    <col min="11" max="11" width="10.5703125" style="196" customWidth="1"/>
    <col min="12" max="12" width="14.5703125" style="196" customWidth="1"/>
    <col min="13" max="14" width="7.7109375" style="196" customWidth="1"/>
    <col min="15" max="15" width="10" style="196" customWidth="1"/>
    <col min="16" max="16" width="7.7109375" style="196" customWidth="1"/>
    <col min="17" max="17" width="9.7109375" style="196" customWidth="1"/>
    <col min="18" max="18" width="7.7109375" style="196" customWidth="1"/>
    <col min="19" max="19" width="9.140625" style="196" customWidth="1"/>
    <col min="20" max="20" width="39.85546875" style="196" customWidth="1"/>
    <col min="21" max="21" width="12.7109375" style="199" customWidth="1"/>
  </cols>
  <sheetData>
    <row r="1" spans="1:21" ht="22.5" hidden="1" thickBot="1" x14ac:dyDescent="0.25">
      <c r="M1" s="197"/>
      <c r="N1" s="197"/>
      <c r="O1" s="197"/>
      <c r="P1" s="197"/>
      <c r="U1" s="196"/>
    </row>
    <row r="2" spans="1:21" ht="22.5" hidden="1" thickBot="1" x14ac:dyDescent="0.25">
      <c r="M2" s="197"/>
      <c r="N2" s="197"/>
      <c r="O2" s="197"/>
      <c r="P2" s="197"/>
      <c r="U2" s="196"/>
    </row>
    <row r="3" spans="1:21" ht="22.5" hidden="1" thickBot="1" x14ac:dyDescent="0.25">
      <c r="M3" s="197"/>
      <c r="N3" s="197"/>
      <c r="O3" s="197"/>
      <c r="P3" s="197"/>
      <c r="U3" s="196"/>
    </row>
    <row r="4" spans="1:21" ht="31.5" customHeight="1" x14ac:dyDescent="0.2">
      <c r="A4" s="432"/>
      <c r="B4" s="433"/>
      <c r="C4" s="433"/>
      <c r="D4" s="433"/>
      <c r="E4" s="433"/>
      <c r="F4" s="433"/>
      <c r="G4" s="433"/>
      <c r="H4" s="853" t="s">
        <v>332</v>
      </c>
      <c r="I4" s="853"/>
      <c r="J4" s="853"/>
      <c r="K4" s="853"/>
      <c r="L4" s="853"/>
      <c r="M4" s="853"/>
      <c r="N4" s="853"/>
      <c r="O4" s="853"/>
      <c r="P4" s="853"/>
      <c r="Q4" s="854"/>
      <c r="R4" s="855" t="s">
        <v>311</v>
      </c>
      <c r="S4" s="856"/>
      <c r="T4" s="856"/>
      <c r="U4" s="857"/>
    </row>
    <row r="5" spans="1:21" ht="32.25" customHeight="1" thickBot="1" x14ac:dyDescent="0.25">
      <c r="A5" s="858" t="s">
        <v>20</v>
      </c>
      <c r="B5" s="859"/>
      <c r="C5" s="434"/>
      <c r="D5" s="434"/>
      <c r="E5" s="435"/>
      <c r="F5" s="435"/>
      <c r="G5" s="435"/>
      <c r="H5" s="860" t="s">
        <v>331</v>
      </c>
      <c r="I5" s="860"/>
      <c r="J5" s="860"/>
      <c r="K5" s="860"/>
      <c r="L5" s="860"/>
      <c r="M5" s="860"/>
      <c r="N5" s="860"/>
      <c r="O5" s="860"/>
      <c r="P5" s="860"/>
      <c r="Q5" s="861"/>
      <c r="R5" s="862" t="s">
        <v>70</v>
      </c>
      <c r="S5" s="863"/>
      <c r="T5" s="863"/>
      <c r="U5" s="864"/>
    </row>
    <row r="6" spans="1:21" ht="27.75" customHeight="1" thickBot="1" x14ac:dyDescent="0.25">
      <c r="A6" s="813" t="s">
        <v>274</v>
      </c>
      <c r="B6" s="814"/>
      <c r="C6" s="814"/>
      <c r="D6" s="814"/>
      <c r="E6" s="814"/>
      <c r="F6" s="814"/>
      <c r="G6" s="814"/>
      <c r="H6" s="814"/>
      <c r="I6" s="814"/>
      <c r="J6" s="814"/>
      <c r="K6" s="814"/>
      <c r="L6" s="849"/>
      <c r="M6" s="850" t="s">
        <v>71</v>
      </c>
      <c r="N6" s="851"/>
      <c r="O6" s="851"/>
      <c r="P6" s="851"/>
      <c r="Q6" s="851"/>
      <c r="R6" s="851"/>
      <c r="S6" s="851"/>
      <c r="T6" s="851"/>
      <c r="U6" s="852"/>
    </row>
    <row r="7" spans="1:21" ht="27.75" customHeight="1" x14ac:dyDescent="0.2">
      <c r="A7" s="835" t="s">
        <v>80</v>
      </c>
      <c r="B7" s="835" t="s">
        <v>81</v>
      </c>
      <c r="C7" s="837" t="s">
        <v>72</v>
      </c>
      <c r="D7" s="838"/>
      <c r="E7" s="838"/>
      <c r="F7" s="838"/>
      <c r="G7" s="838"/>
      <c r="H7" s="838"/>
      <c r="I7" s="838"/>
      <c r="J7" s="839"/>
      <c r="K7" s="832" t="s">
        <v>73</v>
      </c>
      <c r="L7" s="840" t="s">
        <v>74</v>
      </c>
      <c r="M7" s="832" t="s">
        <v>75</v>
      </c>
      <c r="N7" s="816" t="s">
        <v>76</v>
      </c>
      <c r="O7" s="816" t="s">
        <v>152</v>
      </c>
      <c r="P7" s="816" t="s">
        <v>77</v>
      </c>
      <c r="Q7" s="816" t="s">
        <v>78</v>
      </c>
      <c r="R7" s="816" t="s">
        <v>79</v>
      </c>
      <c r="S7" s="819" t="s">
        <v>235</v>
      </c>
      <c r="T7" s="820"/>
      <c r="U7" s="776"/>
    </row>
    <row r="8" spans="1:21" ht="24" customHeight="1" x14ac:dyDescent="0.2">
      <c r="A8" s="836"/>
      <c r="B8" s="836"/>
      <c r="C8" s="843" t="s">
        <v>82</v>
      </c>
      <c r="D8" s="845" t="s">
        <v>211</v>
      </c>
      <c r="E8" s="798" t="s">
        <v>83</v>
      </c>
      <c r="F8" s="847"/>
      <c r="G8" s="848"/>
      <c r="H8" s="798" t="s">
        <v>84</v>
      </c>
      <c r="I8" s="847"/>
      <c r="J8" s="799"/>
      <c r="K8" s="833"/>
      <c r="L8" s="841"/>
      <c r="M8" s="833"/>
      <c r="N8" s="817"/>
      <c r="O8" s="817"/>
      <c r="P8" s="817"/>
      <c r="Q8" s="817"/>
      <c r="R8" s="817"/>
      <c r="S8" s="821"/>
      <c r="T8" s="822"/>
      <c r="U8" s="823"/>
    </row>
    <row r="9" spans="1:21" ht="78.75" customHeight="1" thickBot="1" x14ac:dyDescent="0.25">
      <c r="A9" s="836"/>
      <c r="B9" s="836"/>
      <c r="C9" s="844"/>
      <c r="D9" s="846"/>
      <c r="E9" s="606" t="s">
        <v>85</v>
      </c>
      <c r="F9" s="607" t="s">
        <v>208</v>
      </c>
      <c r="G9" s="606" t="s">
        <v>210</v>
      </c>
      <c r="H9" s="606" t="s">
        <v>85</v>
      </c>
      <c r="I9" s="607" t="s">
        <v>86</v>
      </c>
      <c r="J9" s="436" t="s">
        <v>209</v>
      </c>
      <c r="K9" s="834"/>
      <c r="L9" s="842"/>
      <c r="M9" s="834"/>
      <c r="N9" s="818"/>
      <c r="O9" s="818"/>
      <c r="P9" s="818"/>
      <c r="Q9" s="818"/>
      <c r="R9" s="818"/>
      <c r="S9" s="824"/>
      <c r="T9" s="825"/>
      <c r="U9" s="778"/>
    </row>
    <row r="10" spans="1:21" ht="27.75" thickBot="1" x14ac:dyDescent="0.25">
      <c r="A10" s="437">
        <f t="shared" ref="A10:L10" si="0">A11+A20</f>
        <v>1602744</v>
      </c>
      <c r="B10" s="438">
        <f t="shared" si="0"/>
        <v>0</v>
      </c>
      <c r="C10" s="439">
        <f t="shared" si="0"/>
        <v>296700</v>
      </c>
      <c r="D10" s="438">
        <f t="shared" si="0"/>
        <v>80448</v>
      </c>
      <c r="E10" s="437">
        <f t="shared" si="0"/>
        <v>0</v>
      </c>
      <c r="F10" s="440">
        <f t="shared" si="0"/>
        <v>0</v>
      </c>
      <c r="G10" s="441">
        <f t="shared" si="0"/>
        <v>20516</v>
      </c>
      <c r="H10" s="442">
        <f t="shared" si="0"/>
        <v>0</v>
      </c>
      <c r="I10" s="440">
        <f t="shared" si="0"/>
        <v>0</v>
      </c>
      <c r="J10" s="443">
        <f t="shared" si="0"/>
        <v>195736</v>
      </c>
      <c r="K10" s="438">
        <f t="shared" si="0"/>
        <v>319774</v>
      </c>
      <c r="L10" s="444">
        <f t="shared" si="0"/>
        <v>986270</v>
      </c>
      <c r="M10" s="826" t="s">
        <v>87</v>
      </c>
      <c r="N10" s="827"/>
      <c r="O10" s="827"/>
      <c r="P10" s="827"/>
      <c r="Q10" s="827"/>
      <c r="R10" s="827"/>
      <c r="S10" s="827"/>
      <c r="T10" s="827"/>
      <c r="U10" s="828"/>
    </row>
    <row r="11" spans="1:21" ht="28.5" thickTop="1" thickBot="1" x14ac:dyDescent="0.25">
      <c r="A11" s="546">
        <f t="shared" ref="A11:A17" si="1">B11+C11+K11+L11</f>
        <v>969295</v>
      </c>
      <c r="B11" s="547">
        <f t="shared" ref="B11:L11" si="2">SUM(B12:B19)</f>
        <v>0</v>
      </c>
      <c r="C11" s="548">
        <f>SUM(C12:C19)</f>
        <v>65669</v>
      </c>
      <c r="D11" s="547">
        <f>SUM(D12:D19)</f>
        <v>44593</v>
      </c>
      <c r="E11" s="546">
        <f t="shared" si="2"/>
        <v>0</v>
      </c>
      <c r="F11" s="549">
        <f t="shared" si="2"/>
        <v>0</v>
      </c>
      <c r="G11" s="550">
        <f t="shared" si="2"/>
        <v>20516</v>
      </c>
      <c r="H11" s="551">
        <f t="shared" si="2"/>
        <v>0</v>
      </c>
      <c r="I11" s="549">
        <f t="shared" si="2"/>
        <v>0</v>
      </c>
      <c r="J11" s="552">
        <f t="shared" si="2"/>
        <v>560</v>
      </c>
      <c r="K11" s="547">
        <f t="shared" si="2"/>
        <v>119426</v>
      </c>
      <c r="L11" s="553">
        <f t="shared" si="2"/>
        <v>784200</v>
      </c>
      <c r="M11" s="829" t="s">
        <v>88</v>
      </c>
      <c r="N11" s="830"/>
      <c r="O11" s="830"/>
      <c r="P11" s="830"/>
      <c r="Q11" s="830"/>
      <c r="R11" s="830"/>
      <c r="S11" s="830"/>
      <c r="T11" s="831"/>
      <c r="U11" s="554" t="s">
        <v>227</v>
      </c>
    </row>
    <row r="12" spans="1:21" ht="27" x14ac:dyDescent="0.7">
      <c r="A12" s="445">
        <f t="shared" si="1"/>
        <v>6000</v>
      </c>
      <c r="B12" s="446">
        <v>0</v>
      </c>
      <c r="C12" s="447">
        <f t="shared" ref="C12:C17" si="3">SUM(D12:J12)</f>
        <v>4504</v>
      </c>
      <c r="D12" s="446">
        <v>4504</v>
      </c>
      <c r="E12" s="448">
        <v>0</v>
      </c>
      <c r="F12" s="449">
        <v>0</v>
      </c>
      <c r="G12" s="450">
        <v>0</v>
      </c>
      <c r="H12" s="451">
        <v>0</v>
      </c>
      <c r="I12" s="449">
        <v>0</v>
      </c>
      <c r="J12" s="450">
        <v>0</v>
      </c>
      <c r="K12" s="452">
        <v>0</v>
      </c>
      <c r="L12" s="453">
        <v>1496</v>
      </c>
      <c r="M12" s="454">
        <v>1404</v>
      </c>
      <c r="N12" s="455">
        <v>1401</v>
      </c>
      <c r="O12" s="455">
        <v>70</v>
      </c>
      <c r="P12" s="455">
        <v>6000</v>
      </c>
      <c r="Q12" s="456" t="s">
        <v>343</v>
      </c>
      <c r="R12" s="455">
        <v>1</v>
      </c>
      <c r="S12" s="798" t="s">
        <v>344</v>
      </c>
      <c r="T12" s="799"/>
      <c r="U12" s="555">
        <v>1</v>
      </c>
    </row>
    <row r="13" spans="1:21" ht="27" x14ac:dyDescent="0.7">
      <c r="A13" s="445">
        <f t="shared" si="1"/>
        <v>14000</v>
      </c>
      <c r="B13" s="446">
        <v>0</v>
      </c>
      <c r="C13" s="447">
        <f t="shared" si="3"/>
        <v>335</v>
      </c>
      <c r="D13" s="446">
        <v>335</v>
      </c>
      <c r="E13" s="448">
        <v>0</v>
      </c>
      <c r="F13" s="449">
        <v>0</v>
      </c>
      <c r="G13" s="450">
        <v>0</v>
      </c>
      <c r="H13" s="451">
        <v>0</v>
      </c>
      <c r="I13" s="449">
        <v>0</v>
      </c>
      <c r="J13" s="450">
        <v>0</v>
      </c>
      <c r="K13" s="452">
        <v>4221</v>
      </c>
      <c r="L13" s="453">
        <v>9444</v>
      </c>
      <c r="M13" s="454">
        <v>1404</v>
      </c>
      <c r="N13" s="455">
        <v>1401</v>
      </c>
      <c r="O13" s="455">
        <v>100</v>
      </c>
      <c r="P13" s="455">
        <v>14000</v>
      </c>
      <c r="Q13" s="456" t="s">
        <v>343</v>
      </c>
      <c r="R13" s="455">
        <v>1</v>
      </c>
      <c r="S13" s="798" t="s">
        <v>345</v>
      </c>
      <c r="T13" s="799"/>
      <c r="U13" s="555">
        <v>2</v>
      </c>
    </row>
    <row r="14" spans="1:21" ht="27" x14ac:dyDescent="0.7">
      <c r="A14" s="445">
        <f t="shared" si="1"/>
        <v>60032</v>
      </c>
      <c r="B14" s="446">
        <v>0</v>
      </c>
      <c r="C14" s="447">
        <f t="shared" si="3"/>
        <v>31</v>
      </c>
      <c r="D14" s="446">
        <v>31</v>
      </c>
      <c r="E14" s="448">
        <v>0</v>
      </c>
      <c r="F14" s="449">
        <v>0</v>
      </c>
      <c r="G14" s="450">
        <v>0</v>
      </c>
      <c r="H14" s="451">
        <v>0</v>
      </c>
      <c r="I14" s="449">
        <v>0</v>
      </c>
      <c r="J14" s="450">
        <v>0</v>
      </c>
      <c r="K14" s="452">
        <v>5068</v>
      </c>
      <c r="L14" s="453">
        <v>54933</v>
      </c>
      <c r="M14" s="454">
        <v>1404</v>
      </c>
      <c r="N14" s="455">
        <v>1401</v>
      </c>
      <c r="O14" s="455">
        <v>95</v>
      </c>
      <c r="P14" s="455">
        <v>60032</v>
      </c>
      <c r="Q14" s="456" t="s">
        <v>343</v>
      </c>
      <c r="R14" s="455">
        <v>1</v>
      </c>
      <c r="S14" s="798" t="s">
        <v>346</v>
      </c>
      <c r="T14" s="799"/>
      <c r="U14" s="555">
        <v>3</v>
      </c>
    </row>
    <row r="15" spans="1:21" ht="27" x14ac:dyDescent="0.7">
      <c r="A15" s="445">
        <f t="shared" si="1"/>
        <v>17700</v>
      </c>
      <c r="B15" s="446">
        <v>0</v>
      </c>
      <c r="C15" s="447">
        <f t="shared" si="3"/>
        <v>0</v>
      </c>
      <c r="D15" s="452">
        <v>0</v>
      </c>
      <c r="E15" s="448">
        <v>0</v>
      </c>
      <c r="F15" s="449">
        <v>0</v>
      </c>
      <c r="G15" s="450">
        <v>0</v>
      </c>
      <c r="H15" s="451">
        <v>0</v>
      </c>
      <c r="I15" s="449">
        <v>0</v>
      </c>
      <c r="J15" s="450">
        <v>0</v>
      </c>
      <c r="K15" s="452">
        <v>333</v>
      </c>
      <c r="L15" s="453">
        <v>17367</v>
      </c>
      <c r="M15" s="454">
        <v>1404</v>
      </c>
      <c r="N15" s="455">
        <v>1401</v>
      </c>
      <c r="O15" s="455">
        <v>100</v>
      </c>
      <c r="P15" s="455">
        <v>17700</v>
      </c>
      <c r="Q15" s="456" t="s">
        <v>343</v>
      </c>
      <c r="R15" s="455">
        <v>1</v>
      </c>
      <c r="S15" s="798" t="s">
        <v>347</v>
      </c>
      <c r="T15" s="799"/>
      <c r="U15" s="555">
        <v>4</v>
      </c>
    </row>
    <row r="16" spans="1:21" ht="27" x14ac:dyDescent="0.7">
      <c r="A16" s="457">
        <f t="shared" si="1"/>
        <v>156693</v>
      </c>
      <c r="B16" s="452">
        <v>0</v>
      </c>
      <c r="C16" s="447">
        <f t="shared" si="3"/>
        <v>0</v>
      </c>
      <c r="D16" s="452">
        <v>0</v>
      </c>
      <c r="E16" s="448">
        <v>0</v>
      </c>
      <c r="F16" s="458">
        <v>0</v>
      </c>
      <c r="G16" s="450">
        <v>0</v>
      </c>
      <c r="H16" s="451">
        <v>0</v>
      </c>
      <c r="I16" s="449">
        <v>0</v>
      </c>
      <c r="J16" s="459">
        <v>0</v>
      </c>
      <c r="K16" s="452">
        <v>4938</v>
      </c>
      <c r="L16" s="453">
        <v>151755</v>
      </c>
      <c r="M16" s="460">
        <v>1404</v>
      </c>
      <c r="N16" s="461">
        <v>1398</v>
      </c>
      <c r="O16" s="461">
        <v>78</v>
      </c>
      <c r="P16" s="461">
        <v>37.31</v>
      </c>
      <c r="Q16" s="456" t="s">
        <v>294</v>
      </c>
      <c r="R16" s="461">
        <v>4200</v>
      </c>
      <c r="S16" s="807" t="s">
        <v>348</v>
      </c>
      <c r="T16" s="808"/>
      <c r="U16" s="556">
        <v>5</v>
      </c>
    </row>
    <row r="17" spans="1:24" ht="27.75" thickBot="1" x14ac:dyDescent="0.75">
      <c r="A17" s="457">
        <f t="shared" si="1"/>
        <v>714870</v>
      </c>
      <c r="B17" s="452">
        <v>0</v>
      </c>
      <c r="C17" s="447">
        <f t="shared" si="3"/>
        <v>60799</v>
      </c>
      <c r="D17" s="452">
        <v>39723</v>
      </c>
      <c r="E17" s="448">
        <v>0</v>
      </c>
      <c r="F17" s="458">
        <v>0</v>
      </c>
      <c r="G17" s="450">
        <v>20516</v>
      </c>
      <c r="H17" s="451">
        <v>0</v>
      </c>
      <c r="I17" s="449">
        <v>0</v>
      </c>
      <c r="J17" s="459">
        <v>560</v>
      </c>
      <c r="K17" s="452">
        <v>104866</v>
      </c>
      <c r="L17" s="453">
        <v>549205</v>
      </c>
      <c r="M17" s="460">
        <v>1404</v>
      </c>
      <c r="N17" s="461">
        <v>1399</v>
      </c>
      <c r="O17" s="461">
        <v>80</v>
      </c>
      <c r="P17" s="461">
        <v>97.26</v>
      </c>
      <c r="Q17" s="449" t="s">
        <v>294</v>
      </c>
      <c r="R17" s="461">
        <v>7350</v>
      </c>
      <c r="S17" s="809" t="s">
        <v>349</v>
      </c>
      <c r="T17" s="810"/>
      <c r="U17" s="556">
        <v>6</v>
      </c>
    </row>
    <row r="18" spans="1:24" ht="27.75" hidden="1" thickBot="1" x14ac:dyDescent="0.25">
      <c r="A18" s="457"/>
      <c r="B18" s="452"/>
      <c r="C18" s="447"/>
      <c r="D18" s="452"/>
      <c r="E18" s="448"/>
      <c r="F18" s="449"/>
      <c r="G18" s="450"/>
      <c r="H18" s="451"/>
      <c r="I18" s="449"/>
      <c r="J18" s="450"/>
      <c r="K18" s="452"/>
      <c r="L18" s="453"/>
      <c r="M18" s="460"/>
      <c r="N18" s="461"/>
      <c r="O18" s="461"/>
      <c r="P18" s="461"/>
      <c r="Q18" s="449"/>
      <c r="R18" s="462"/>
      <c r="S18" s="809"/>
      <c r="T18" s="810"/>
      <c r="U18" s="556">
        <v>7</v>
      </c>
    </row>
    <row r="19" spans="1:24" ht="33" hidden="1" customHeight="1" thickBot="1" x14ac:dyDescent="0.25">
      <c r="A19" s="463"/>
      <c r="B19" s="464"/>
      <c r="C19" s="465"/>
      <c r="D19" s="464"/>
      <c r="E19" s="466"/>
      <c r="F19" s="467"/>
      <c r="G19" s="468"/>
      <c r="H19" s="469"/>
      <c r="I19" s="470"/>
      <c r="J19" s="471"/>
      <c r="K19" s="464"/>
      <c r="L19" s="472"/>
      <c r="M19" s="473"/>
      <c r="N19" s="474"/>
      <c r="O19" s="474"/>
      <c r="P19" s="474"/>
      <c r="Q19" s="467"/>
      <c r="R19" s="475"/>
      <c r="S19" s="811"/>
      <c r="T19" s="812"/>
      <c r="U19" s="557">
        <v>8</v>
      </c>
    </row>
    <row r="20" spans="1:24" ht="27.75" customHeight="1" thickBot="1" x14ac:dyDescent="0.25">
      <c r="A20" s="369">
        <f t="shared" ref="A20:L20" si="4">SUM(A21:A29)</f>
        <v>633449</v>
      </c>
      <c r="B20" s="581">
        <f t="shared" si="4"/>
        <v>0</v>
      </c>
      <c r="C20" s="582">
        <f t="shared" si="4"/>
        <v>231031</v>
      </c>
      <c r="D20" s="581">
        <f t="shared" si="4"/>
        <v>35855</v>
      </c>
      <c r="E20" s="369">
        <f t="shared" si="4"/>
        <v>0</v>
      </c>
      <c r="F20" s="583">
        <f t="shared" si="4"/>
        <v>0</v>
      </c>
      <c r="G20" s="371">
        <f t="shared" si="4"/>
        <v>0</v>
      </c>
      <c r="H20" s="582">
        <f t="shared" si="4"/>
        <v>0</v>
      </c>
      <c r="I20" s="583">
        <f t="shared" si="4"/>
        <v>0</v>
      </c>
      <c r="J20" s="583">
        <f t="shared" si="4"/>
        <v>195176</v>
      </c>
      <c r="K20" s="581">
        <f t="shared" si="4"/>
        <v>200348</v>
      </c>
      <c r="L20" s="582">
        <f t="shared" si="4"/>
        <v>202070</v>
      </c>
      <c r="M20" s="813" t="s">
        <v>285</v>
      </c>
      <c r="N20" s="814"/>
      <c r="O20" s="814"/>
      <c r="P20" s="814"/>
      <c r="Q20" s="814"/>
      <c r="R20" s="814"/>
      <c r="S20" s="814"/>
      <c r="T20" s="815"/>
      <c r="U20" s="558" t="s">
        <v>227</v>
      </c>
    </row>
    <row r="21" spans="1:24" ht="27.75" customHeight="1" x14ac:dyDescent="0.8">
      <c r="A21" s="561">
        <f>B21+C21+K21+L21</f>
        <v>294425</v>
      </c>
      <c r="B21" s="562">
        <v>0</v>
      </c>
      <c r="C21" s="447">
        <f>SUM(D21:J21)</f>
        <v>132119</v>
      </c>
      <c r="D21" s="559">
        <v>213</v>
      </c>
      <c r="E21" s="563">
        <v>0</v>
      </c>
      <c r="F21" s="564">
        <v>0</v>
      </c>
      <c r="G21" s="565">
        <v>0</v>
      </c>
      <c r="H21" s="566">
        <v>0</v>
      </c>
      <c r="I21" s="564">
        <v>0</v>
      </c>
      <c r="J21" s="567">
        <v>131906</v>
      </c>
      <c r="K21" s="562">
        <v>68045</v>
      </c>
      <c r="L21" s="568">
        <v>94261</v>
      </c>
      <c r="M21" s="569">
        <v>1404</v>
      </c>
      <c r="N21" s="570">
        <v>1382</v>
      </c>
      <c r="O21" s="570">
        <v>100</v>
      </c>
      <c r="P21" s="618">
        <f t="shared" ref="P21:P28" si="5">A21</f>
        <v>294425</v>
      </c>
      <c r="Q21" s="570" t="s">
        <v>295</v>
      </c>
      <c r="R21" s="570">
        <v>1</v>
      </c>
      <c r="S21" s="798" t="s">
        <v>89</v>
      </c>
      <c r="T21" s="799"/>
      <c r="U21" s="571">
        <v>1</v>
      </c>
    </row>
    <row r="22" spans="1:24" ht="27.75" customHeight="1" thickBot="1" x14ac:dyDescent="0.85">
      <c r="A22" s="572">
        <f t="shared" ref="A22:A29" si="6">B22+C22+K22+L22</f>
        <v>88201</v>
      </c>
      <c r="B22" s="560">
        <v>0</v>
      </c>
      <c r="C22" s="447">
        <f t="shared" ref="C22:C29" si="7">SUM(D22:J22)</f>
        <v>22829</v>
      </c>
      <c r="D22" s="560">
        <v>0</v>
      </c>
      <c r="E22" s="573">
        <v>0</v>
      </c>
      <c r="F22" s="574">
        <v>0</v>
      </c>
      <c r="G22" s="575">
        <v>0</v>
      </c>
      <c r="H22" s="576">
        <v>0</v>
      </c>
      <c r="I22" s="574">
        <v>0</v>
      </c>
      <c r="J22" s="577">
        <v>22829</v>
      </c>
      <c r="K22" s="560">
        <v>42525</v>
      </c>
      <c r="L22" s="578">
        <v>22847</v>
      </c>
      <c r="M22" s="579">
        <v>1404</v>
      </c>
      <c r="N22" s="580">
        <v>1382</v>
      </c>
      <c r="O22" s="580">
        <v>100</v>
      </c>
      <c r="P22" s="580">
        <f t="shared" si="5"/>
        <v>88201</v>
      </c>
      <c r="Q22" s="580" t="s">
        <v>295</v>
      </c>
      <c r="R22" s="580">
        <v>1</v>
      </c>
      <c r="S22" s="798" t="s">
        <v>90</v>
      </c>
      <c r="T22" s="799"/>
      <c r="U22" s="556">
        <v>2</v>
      </c>
    </row>
    <row r="23" spans="1:24" ht="27.75" customHeight="1" x14ac:dyDescent="0.8">
      <c r="A23" s="572">
        <f t="shared" si="6"/>
        <v>149409</v>
      </c>
      <c r="B23" s="560">
        <v>0</v>
      </c>
      <c r="C23" s="447">
        <f t="shared" si="7"/>
        <v>40441</v>
      </c>
      <c r="D23" s="560">
        <v>0</v>
      </c>
      <c r="E23" s="573">
        <v>0</v>
      </c>
      <c r="F23" s="574">
        <v>0</v>
      </c>
      <c r="G23" s="575">
        <v>0</v>
      </c>
      <c r="H23" s="576">
        <v>0</v>
      </c>
      <c r="I23" s="574">
        <v>0</v>
      </c>
      <c r="J23" s="577">
        <v>40441</v>
      </c>
      <c r="K23" s="560">
        <v>64424</v>
      </c>
      <c r="L23" s="578">
        <v>44544</v>
      </c>
      <c r="M23" s="579">
        <v>1404</v>
      </c>
      <c r="N23" s="580">
        <v>1400</v>
      </c>
      <c r="O23" s="580">
        <v>50</v>
      </c>
      <c r="P23" s="618">
        <f t="shared" si="5"/>
        <v>149409</v>
      </c>
      <c r="Q23" s="580" t="s">
        <v>295</v>
      </c>
      <c r="R23" s="580">
        <v>1</v>
      </c>
      <c r="S23" s="798" t="s">
        <v>350</v>
      </c>
      <c r="T23" s="799"/>
      <c r="U23" s="556">
        <v>3</v>
      </c>
    </row>
    <row r="24" spans="1:24" ht="27.75" customHeight="1" x14ac:dyDescent="0.8">
      <c r="A24" s="572">
        <f t="shared" si="6"/>
        <v>37007</v>
      </c>
      <c r="B24" s="560">
        <v>0</v>
      </c>
      <c r="C24" s="447">
        <f t="shared" si="7"/>
        <v>19129</v>
      </c>
      <c r="D24" s="560">
        <v>19129</v>
      </c>
      <c r="E24" s="573">
        <v>0</v>
      </c>
      <c r="F24" s="574">
        <v>0</v>
      </c>
      <c r="G24" s="575">
        <v>0</v>
      </c>
      <c r="H24" s="576">
        <v>0</v>
      </c>
      <c r="I24" s="574">
        <v>0</v>
      </c>
      <c r="J24" s="577">
        <v>0</v>
      </c>
      <c r="K24" s="560">
        <v>14254</v>
      </c>
      <c r="L24" s="578">
        <v>3624</v>
      </c>
      <c r="M24" s="579">
        <v>1404</v>
      </c>
      <c r="N24" s="580">
        <v>1396</v>
      </c>
      <c r="O24" s="580">
        <v>70</v>
      </c>
      <c r="P24" s="580">
        <f t="shared" si="5"/>
        <v>37007</v>
      </c>
      <c r="Q24" s="580" t="s">
        <v>295</v>
      </c>
      <c r="R24" s="580">
        <v>1</v>
      </c>
      <c r="S24" s="798" t="s">
        <v>351</v>
      </c>
      <c r="T24" s="799"/>
      <c r="U24" s="556">
        <v>4</v>
      </c>
    </row>
    <row r="25" spans="1:24" ht="27.75" customHeight="1" x14ac:dyDescent="0.8">
      <c r="A25" s="572">
        <f t="shared" si="6"/>
        <v>7300</v>
      </c>
      <c r="B25" s="560">
        <v>0</v>
      </c>
      <c r="C25" s="447">
        <f t="shared" si="7"/>
        <v>5212</v>
      </c>
      <c r="D25" s="560">
        <v>5212</v>
      </c>
      <c r="E25" s="573">
        <v>0</v>
      </c>
      <c r="F25" s="574">
        <v>0</v>
      </c>
      <c r="G25" s="575">
        <v>0</v>
      </c>
      <c r="H25" s="574">
        <v>0</v>
      </c>
      <c r="I25" s="574">
        <v>0</v>
      </c>
      <c r="J25" s="577">
        <v>0</v>
      </c>
      <c r="K25" s="560">
        <v>0</v>
      </c>
      <c r="L25" s="578">
        <v>2088</v>
      </c>
      <c r="M25" s="579">
        <v>1404</v>
      </c>
      <c r="N25" s="580">
        <v>1401</v>
      </c>
      <c r="O25" s="580">
        <v>40</v>
      </c>
      <c r="P25" s="580">
        <f t="shared" si="5"/>
        <v>7300</v>
      </c>
      <c r="Q25" s="580" t="s">
        <v>295</v>
      </c>
      <c r="R25" s="580">
        <v>1</v>
      </c>
      <c r="S25" s="798" t="s">
        <v>352</v>
      </c>
      <c r="T25" s="799"/>
      <c r="U25" s="556">
        <v>5</v>
      </c>
    </row>
    <row r="26" spans="1:24" ht="27.75" customHeight="1" x14ac:dyDescent="0.8">
      <c r="A26" s="572">
        <f t="shared" si="6"/>
        <v>17000</v>
      </c>
      <c r="B26" s="560">
        <v>0</v>
      </c>
      <c r="C26" s="447">
        <f t="shared" si="7"/>
        <v>8</v>
      </c>
      <c r="D26" s="560">
        <v>8</v>
      </c>
      <c r="E26" s="573">
        <v>0</v>
      </c>
      <c r="F26" s="574">
        <v>0</v>
      </c>
      <c r="G26" s="575">
        <v>0</v>
      </c>
      <c r="H26" s="574">
        <v>0</v>
      </c>
      <c r="I26" s="574">
        <v>0</v>
      </c>
      <c r="J26" s="577">
        <v>0</v>
      </c>
      <c r="K26" s="560">
        <v>4317</v>
      </c>
      <c r="L26" s="578">
        <v>12675</v>
      </c>
      <c r="M26" s="579">
        <v>1404</v>
      </c>
      <c r="N26" s="580">
        <v>1401</v>
      </c>
      <c r="O26" s="580">
        <v>99</v>
      </c>
      <c r="P26" s="580">
        <f t="shared" si="5"/>
        <v>17000</v>
      </c>
      <c r="Q26" s="580" t="s">
        <v>295</v>
      </c>
      <c r="R26" s="580">
        <v>1</v>
      </c>
      <c r="S26" s="798" t="s">
        <v>353</v>
      </c>
      <c r="T26" s="799"/>
      <c r="U26" s="556">
        <v>6</v>
      </c>
    </row>
    <row r="27" spans="1:24" ht="27.75" customHeight="1" x14ac:dyDescent="0.8">
      <c r="A27" s="572">
        <f t="shared" si="6"/>
        <v>2000</v>
      </c>
      <c r="B27" s="560">
        <v>0</v>
      </c>
      <c r="C27" s="447">
        <f t="shared" si="7"/>
        <v>263</v>
      </c>
      <c r="D27" s="560">
        <v>263</v>
      </c>
      <c r="E27" s="573">
        <v>0</v>
      </c>
      <c r="F27" s="574">
        <v>0</v>
      </c>
      <c r="G27" s="575">
        <v>0</v>
      </c>
      <c r="H27" s="574">
        <v>0</v>
      </c>
      <c r="I27" s="574">
        <v>0</v>
      </c>
      <c r="J27" s="577">
        <v>0</v>
      </c>
      <c r="K27" s="560">
        <v>0</v>
      </c>
      <c r="L27" s="578">
        <v>1737</v>
      </c>
      <c r="M27" s="579">
        <v>1404</v>
      </c>
      <c r="N27" s="580">
        <v>1401</v>
      </c>
      <c r="O27" s="580">
        <v>87</v>
      </c>
      <c r="P27" s="580">
        <f t="shared" si="5"/>
        <v>2000</v>
      </c>
      <c r="Q27" s="580" t="s">
        <v>295</v>
      </c>
      <c r="R27" s="580">
        <v>1</v>
      </c>
      <c r="S27" s="798" t="s">
        <v>354</v>
      </c>
      <c r="T27" s="799"/>
      <c r="U27" s="556">
        <v>7</v>
      </c>
    </row>
    <row r="28" spans="1:24" ht="27.75" customHeight="1" x14ac:dyDescent="0.8">
      <c r="A28" s="572">
        <f t="shared" si="6"/>
        <v>22407</v>
      </c>
      <c r="B28" s="560">
        <v>0</v>
      </c>
      <c r="C28" s="447">
        <f t="shared" si="7"/>
        <v>0</v>
      </c>
      <c r="D28" s="560">
        <v>0</v>
      </c>
      <c r="E28" s="573">
        <v>0</v>
      </c>
      <c r="F28" s="574">
        <v>0</v>
      </c>
      <c r="G28" s="575">
        <v>0</v>
      </c>
      <c r="H28" s="574">
        <v>0</v>
      </c>
      <c r="I28" s="574">
        <v>0</v>
      </c>
      <c r="J28" s="577">
        <v>0</v>
      </c>
      <c r="K28" s="560">
        <v>2113</v>
      </c>
      <c r="L28" s="578">
        <v>20294</v>
      </c>
      <c r="M28" s="579">
        <v>1404</v>
      </c>
      <c r="N28" s="580">
        <v>1401</v>
      </c>
      <c r="O28" s="580">
        <v>100</v>
      </c>
      <c r="P28" s="580">
        <f t="shared" si="5"/>
        <v>22407</v>
      </c>
      <c r="Q28" s="580" t="s">
        <v>295</v>
      </c>
      <c r="R28" s="580">
        <v>1</v>
      </c>
      <c r="S28" s="798" t="s">
        <v>355</v>
      </c>
      <c r="T28" s="799"/>
      <c r="U28" s="556">
        <v>8</v>
      </c>
    </row>
    <row r="29" spans="1:24" ht="27.75" customHeight="1" thickBot="1" x14ac:dyDescent="0.85">
      <c r="A29" s="619">
        <f t="shared" si="6"/>
        <v>15700</v>
      </c>
      <c r="B29" s="620">
        <v>0</v>
      </c>
      <c r="C29" s="447">
        <f t="shared" si="7"/>
        <v>11030</v>
      </c>
      <c r="D29" s="620">
        <v>11030</v>
      </c>
      <c r="E29" s="621">
        <v>0</v>
      </c>
      <c r="F29" s="622">
        <v>0</v>
      </c>
      <c r="G29" s="623">
        <v>0</v>
      </c>
      <c r="H29" s="622">
        <v>0</v>
      </c>
      <c r="I29" s="622">
        <v>0</v>
      </c>
      <c r="J29" s="624"/>
      <c r="K29" s="620">
        <v>4670</v>
      </c>
      <c r="L29" s="625">
        <v>0</v>
      </c>
      <c r="M29" s="626">
        <v>1404</v>
      </c>
      <c r="N29" s="627">
        <v>1401</v>
      </c>
      <c r="O29" s="627">
        <v>33</v>
      </c>
      <c r="P29" s="622">
        <f>A29</f>
        <v>15700</v>
      </c>
      <c r="Q29" s="627" t="s">
        <v>295</v>
      </c>
      <c r="R29" s="627">
        <v>1</v>
      </c>
      <c r="S29" s="798" t="s">
        <v>356</v>
      </c>
      <c r="T29" s="799"/>
      <c r="U29" s="628">
        <v>9</v>
      </c>
    </row>
    <row r="30" spans="1:24" ht="27.75" customHeight="1" thickBot="1" x14ac:dyDescent="0.25">
      <c r="A30" s="800" t="s">
        <v>357</v>
      </c>
      <c r="B30" s="801"/>
      <c r="C30" s="801"/>
      <c r="D30" s="801"/>
      <c r="E30" s="801"/>
      <c r="F30" s="801"/>
      <c r="G30" s="801"/>
      <c r="H30" s="801"/>
      <c r="I30" s="801"/>
      <c r="J30" s="801"/>
      <c r="K30" s="801"/>
      <c r="L30" s="801"/>
      <c r="M30" s="801"/>
      <c r="N30" s="801"/>
      <c r="O30" s="801"/>
      <c r="P30" s="801"/>
      <c r="Q30" s="801"/>
      <c r="R30" s="801"/>
      <c r="S30" s="801"/>
      <c r="T30" s="801"/>
      <c r="U30" s="802"/>
    </row>
    <row r="31" spans="1:24" ht="24" thickBot="1" x14ac:dyDescent="0.25">
      <c r="A31" s="803" t="s">
        <v>358</v>
      </c>
      <c r="B31" s="804"/>
      <c r="C31" s="804"/>
      <c r="D31" s="804"/>
      <c r="E31" s="804"/>
      <c r="F31" s="804"/>
      <c r="G31" s="804"/>
      <c r="H31" s="804"/>
      <c r="I31" s="804"/>
      <c r="J31" s="804"/>
      <c r="K31" s="804"/>
      <c r="L31" s="804"/>
      <c r="M31" s="805" t="s">
        <v>335</v>
      </c>
      <c r="N31" s="805"/>
      <c r="O31" s="805"/>
      <c r="P31" s="805"/>
      <c r="Q31" s="805"/>
      <c r="R31" s="805"/>
      <c r="S31" s="805"/>
      <c r="T31" s="805"/>
      <c r="U31" s="806"/>
    </row>
    <row r="32" spans="1:24" x14ac:dyDescent="0.2">
      <c r="U32" s="196"/>
      <c r="V32" s="196"/>
      <c r="W32" s="196"/>
      <c r="X32" s="196"/>
    </row>
    <row r="33" spans="21:24" x14ac:dyDescent="0.2">
      <c r="U33" s="196"/>
      <c r="V33" s="196"/>
      <c r="W33" s="196"/>
      <c r="X33" s="196"/>
    </row>
    <row r="34" spans="21:24" x14ac:dyDescent="0.2">
      <c r="U34" s="196"/>
    </row>
    <row r="35" spans="21:24" x14ac:dyDescent="0.2">
      <c r="U35" s="196"/>
    </row>
    <row r="36" spans="21:24" x14ac:dyDescent="0.2">
      <c r="U36" s="196"/>
    </row>
    <row r="37" spans="21:24" x14ac:dyDescent="0.2">
      <c r="U37" s="196"/>
    </row>
    <row r="38" spans="21:24" x14ac:dyDescent="0.2">
      <c r="U38" s="196"/>
    </row>
    <row r="39" spans="21:24" x14ac:dyDescent="0.2">
      <c r="U39" s="196"/>
    </row>
    <row r="40" spans="21:24" x14ac:dyDescent="0.2">
      <c r="U40" s="196"/>
    </row>
    <row r="41" spans="21:24" x14ac:dyDescent="0.2">
      <c r="U41" s="196"/>
    </row>
    <row r="42" spans="21:24" x14ac:dyDescent="0.2">
      <c r="U42" s="196"/>
    </row>
    <row r="43" spans="21:24" x14ac:dyDescent="0.2">
      <c r="U43" s="196"/>
    </row>
    <row r="44" spans="21:24" x14ac:dyDescent="0.2">
      <c r="U44" s="196"/>
    </row>
    <row r="45" spans="21:24" x14ac:dyDescent="0.2">
      <c r="U45" s="196"/>
    </row>
    <row r="46" spans="21:24" x14ac:dyDescent="0.2">
      <c r="U46" s="196"/>
    </row>
    <row r="47" spans="21:24" x14ac:dyDescent="0.2">
      <c r="U47" s="196"/>
    </row>
    <row r="48" spans="21:24" x14ac:dyDescent="0.2">
      <c r="U48" s="196"/>
    </row>
    <row r="49" spans="14:21" x14ac:dyDescent="0.2">
      <c r="U49" s="196"/>
    </row>
    <row r="50" spans="14:21" x14ac:dyDescent="0.2">
      <c r="U50" s="196"/>
    </row>
    <row r="51" spans="14:21" x14ac:dyDescent="0.2">
      <c r="U51" s="196"/>
    </row>
    <row r="52" spans="14:21" x14ac:dyDescent="0.2">
      <c r="U52" s="196"/>
    </row>
    <row r="53" spans="14:21" ht="22.5" thickBot="1" x14ac:dyDescent="0.25">
      <c r="U53" s="196"/>
    </row>
    <row r="54" spans="14:21" x14ac:dyDescent="0.2">
      <c r="N54" s="198"/>
      <c r="U54" s="196"/>
    </row>
    <row r="55" spans="14:21" x14ac:dyDescent="0.2">
      <c r="U55" s="196"/>
    </row>
    <row r="56" spans="14:21" x14ac:dyDescent="0.2">
      <c r="U56" s="196"/>
    </row>
    <row r="57" spans="14:21" x14ac:dyDescent="0.2">
      <c r="U57" s="196"/>
    </row>
    <row r="58" spans="14:21" x14ac:dyDescent="0.2">
      <c r="U58" s="196"/>
    </row>
    <row r="59" spans="14:21" x14ac:dyDescent="0.2">
      <c r="U59" s="196"/>
    </row>
    <row r="60" spans="14:21" x14ac:dyDescent="0.2">
      <c r="U60" s="196"/>
    </row>
    <row r="61" spans="14:21" x14ac:dyDescent="0.2">
      <c r="U61" s="196"/>
    </row>
    <row r="62" spans="14:21" x14ac:dyDescent="0.2">
      <c r="U62" s="196"/>
    </row>
    <row r="63" spans="14:21" x14ac:dyDescent="0.2">
      <c r="U63" s="196"/>
    </row>
    <row r="64" spans="14:21" x14ac:dyDescent="0.2">
      <c r="U64" s="196"/>
    </row>
    <row r="65" spans="21:21" x14ac:dyDescent="0.2">
      <c r="U65" s="196"/>
    </row>
    <row r="66" spans="21:21" x14ac:dyDescent="0.2">
      <c r="U66" s="196"/>
    </row>
    <row r="67" spans="21:21" x14ac:dyDescent="0.2">
      <c r="U67" s="196"/>
    </row>
    <row r="68" spans="21:21" x14ac:dyDescent="0.2">
      <c r="U68" s="196"/>
    </row>
    <row r="69" spans="21:21" x14ac:dyDescent="0.2">
      <c r="U69" s="196"/>
    </row>
    <row r="70" spans="21:21" x14ac:dyDescent="0.2">
      <c r="U70" s="196"/>
    </row>
    <row r="71" spans="21:21" x14ac:dyDescent="0.2">
      <c r="U71" s="196"/>
    </row>
    <row r="72" spans="21:21" x14ac:dyDescent="0.2">
      <c r="U72" s="196"/>
    </row>
    <row r="73" spans="21:21" x14ac:dyDescent="0.2">
      <c r="U73" s="196"/>
    </row>
    <row r="74" spans="21:21" x14ac:dyDescent="0.2">
      <c r="U74" s="196"/>
    </row>
    <row r="75" spans="21:21" x14ac:dyDescent="0.2">
      <c r="U75" s="196"/>
    </row>
    <row r="76" spans="21:21" x14ac:dyDescent="0.2">
      <c r="U76" s="196"/>
    </row>
    <row r="77" spans="21:21" x14ac:dyDescent="0.2">
      <c r="U77" s="196"/>
    </row>
    <row r="78" spans="21:21" x14ac:dyDescent="0.2">
      <c r="U78" s="196"/>
    </row>
    <row r="79" spans="21:21" x14ac:dyDescent="0.2">
      <c r="U79" s="196"/>
    </row>
    <row r="80" spans="21:21" x14ac:dyDescent="0.2">
      <c r="U80" s="196"/>
    </row>
    <row r="81" spans="21:21" x14ac:dyDescent="0.2">
      <c r="U81" s="196"/>
    </row>
    <row r="82" spans="21:21" x14ac:dyDescent="0.2">
      <c r="U82" s="196"/>
    </row>
    <row r="83" spans="21:21" x14ac:dyDescent="0.2">
      <c r="U83" s="196"/>
    </row>
    <row r="84" spans="21:21" x14ac:dyDescent="0.2">
      <c r="U84" s="196"/>
    </row>
    <row r="85" spans="21:21" x14ac:dyDescent="0.2">
      <c r="U85" s="196"/>
    </row>
    <row r="86" spans="21:21" x14ac:dyDescent="0.2">
      <c r="U86" s="196"/>
    </row>
    <row r="87" spans="21:21" x14ac:dyDescent="0.2">
      <c r="U87" s="196"/>
    </row>
    <row r="88" spans="21:21" x14ac:dyDescent="0.2">
      <c r="U88" s="196"/>
    </row>
    <row r="89" spans="21:21" x14ac:dyDescent="0.2">
      <c r="U89" s="196"/>
    </row>
    <row r="90" spans="21:21" x14ac:dyDescent="0.2">
      <c r="U90" s="196"/>
    </row>
    <row r="91" spans="21:21" x14ac:dyDescent="0.2">
      <c r="U91" s="196"/>
    </row>
    <row r="92" spans="21:21" x14ac:dyDescent="0.2">
      <c r="U92" s="196"/>
    </row>
    <row r="93" spans="21:21" x14ac:dyDescent="0.2">
      <c r="U93" s="196"/>
    </row>
    <row r="94" spans="21:21" x14ac:dyDescent="0.2">
      <c r="U94" s="196"/>
    </row>
    <row r="95" spans="21:21" x14ac:dyDescent="0.2">
      <c r="U95" s="196"/>
    </row>
    <row r="96" spans="21:21" x14ac:dyDescent="0.2">
      <c r="U96" s="196"/>
    </row>
    <row r="97" spans="21:21" x14ac:dyDescent="0.2">
      <c r="U97" s="196"/>
    </row>
    <row r="98" spans="21:21" x14ac:dyDescent="0.2">
      <c r="U98" s="196"/>
    </row>
    <row r="99" spans="21:21" x14ac:dyDescent="0.2">
      <c r="U99" s="196"/>
    </row>
    <row r="100" spans="21:21" x14ac:dyDescent="0.2">
      <c r="U100" s="196"/>
    </row>
    <row r="101" spans="21:21" x14ac:dyDescent="0.2">
      <c r="U101" s="196"/>
    </row>
    <row r="102" spans="21:21" x14ac:dyDescent="0.2">
      <c r="U102" s="196"/>
    </row>
    <row r="103" spans="21:21" x14ac:dyDescent="0.2">
      <c r="U103" s="196"/>
    </row>
    <row r="104" spans="21:21" x14ac:dyDescent="0.2">
      <c r="U104" s="196"/>
    </row>
    <row r="105" spans="21:21" x14ac:dyDescent="0.2">
      <c r="U105" s="196"/>
    </row>
    <row r="106" spans="21:21" x14ac:dyDescent="0.2">
      <c r="U106" s="196"/>
    </row>
    <row r="107" spans="21:21" x14ac:dyDescent="0.2">
      <c r="U107" s="196"/>
    </row>
    <row r="108" spans="21:21" x14ac:dyDescent="0.2">
      <c r="U108" s="196"/>
    </row>
    <row r="109" spans="21:21" x14ac:dyDescent="0.2">
      <c r="U109" s="196"/>
    </row>
    <row r="110" spans="21:21" x14ac:dyDescent="0.2">
      <c r="U110" s="196"/>
    </row>
    <row r="111" spans="21:21" x14ac:dyDescent="0.2">
      <c r="U111" s="196"/>
    </row>
    <row r="112" spans="21:21" x14ac:dyDescent="0.2">
      <c r="U112" s="196"/>
    </row>
    <row r="113" spans="21:21" x14ac:dyDescent="0.2">
      <c r="U113" s="196"/>
    </row>
    <row r="114" spans="21:21" x14ac:dyDescent="0.2">
      <c r="U114" s="196"/>
    </row>
    <row r="115" spans="21:21" x14ac:dyDescent="0.2">
      <c r="U115" s="196"/>
    </row>
    <row r="116" spans="21:21" x14ac:dyDescent="0.2">
      <c r="U116" s="196"/>
    </row>
    <row r="117" spans="21:21" x14ac:dyDescent="0.2">
      <c r="U117" s="196"/>
    </row>
    <row r="118" spans="21:21" x14ac:dyDescent="0.2">
      <c r="U118" s="196"/>
    </row>
    <row r="119" spans="21:21" x14ac:dyDescent="0.2">
      <c r="U119" s="196"/>
    </row>
    <row r="120" spans="21:21" x14ac:dyDescent="0.2">
      <c r="U120" s="196"/>
    </row>
    <row r="121" spans="21:21" x14ac:dyDescent="0.2">
      <c r="U121" s="196"/>
    </row>
    <row r="122" spans="21:21" x14ac:dyDescent="0.2">
      <c r="U122" s="196"/>
    </row>
    <row r="123" spans="21:21" x14ac:dyDescent="0.2">
      <c r="U123" s="196"/>
    </row>
    <row r="124" spans="21:21" x14ac:dyDescent="0.2">
      <c r="U124" s="196"/>
    </row>
    <row r="125" spans="21:21" x14ac:dyDescent="0.2">
      <c r="U125" s="196"/>
    </row>
    <row r="126" spans="21:21" x14ac:dyDescent="0.2">
      <c r="U126" s="196"/>
    </row>
    <row r="127" spans="21:21" x14ac:dyDescent="0.2">
      <c r="U127" s="196"/>
    </row>
    <row r="128" spans="21:21" x14ac:dyDescent="0.2">
      <c r="U128" s="196"/>
    </row>
    <row r="129" spans="21:21" x14ac:dyDescent="0.2">
      <c r="U129" s="196"/>
    </row>
    <row r="130" spans="21:21" x14ac:dyDescent="0.2">
      <c r="U130" s="196"/>
    </row>
    <row r="131" spans="21:21" x14ac:dyDescent="0.2">
      <c r="U131" s="196"/>
    </row>
    <row r="132" spans="21:21" x14ac:dyDescent="0.2">
      <c r="U132" s="196"/>
    </row>
    <row r="133" spans="21:21" x14ac:dyDescent="0.2">
      <c r="U133" s="196"/>
    </row>
    <row r="134" spans="21:21" x14ac:dyDescent="0.2">
      <c r="U134" s="196"/>
    </row>
    <row r="135" spans="21:21" x14ac:dyDescent="0.2">
      <c r="U135" s="196"/>
    </row>
    <row r="136" spans="21:21" x14ac:dyDescent="0.2">
      <c r="U136" s="196"/>
    </row>
    <row r="137" spans="21:21" x14ac:dyDescent="0.2">
      <c r="U137" s="196"/>
    </row>
    <row r="138" spans="21:21" x14ac:dyDescent="0.2">
      <c r="U138" s="196"/>
    </row>
    <row r="139" spans="21:21" x14ac:dyDescent="0.2">
      <c r="U139" s="196"/>
    </row>
    <row r="140" spans="21:21" x14ac:dyDescent="0.2">
      <c r="U140" s="196"/>
    </row>
    <row r="141" spans="21:21" x14ac:dyDescent="0.2">
      <c r="U141" s="196"/>
    </row>
    <row r="142" spans="21:21" x14ac:dyDescent="0.2">
      <c r="U142" s="196"/>
    </row>
    <row r="143" spans="21:21" x14ac:dyDescent="0.2">
      <c r="U143" s="196"/>
    </row>
    <row r="144" spans="21:21" x14ac:dyDescent="0.2">
      <c r="U144" s="196"/>
    </row>
    <row r="145" spans="21:21" x14ac:dyDescent="0.2">
      <c r="U145" s="196"/>
    </row>
    <row r="146" spans="21:21" x14ac:dyDescent="0.2">
      <c r="U146" s="196"/>
    </row>
    <row r="147" spans="21:21" x14ac:dyDescent="0.2">
      <c r="U147" s="196"/>
    </row>
    <row r="148" spans="21:21" x14ac:dyDescent="0.2">
      <c r="U148" s="196"/>
    </row>
    <row r="149" spans="21:21" x14ac:dyDescent="0.2">
      <c r="U149" s="196"/>
    </row>
    <row r="150" spans="21:21" x14ac:dyDescent="0.2">
      <c r="U150" s="196"/>
    </row>
    <row r="151" spans="21:21" x14ac:dyDescent="0.2">
      <c r="U151" s="196"/>
    </row>
    <row r="152" spans="21:21" x14ac:dyDescent="0.2">
      <c r="U152" s="196"/>
    </row>
    <row r="153" spans="21:21" x14ac:dyDescent="0.2">
      <c r="U153" s="196"/>
    </row>
    <row r="154" spans="21:21" x14ac:dyDescent="0.2">
      <c r="U154" s="196"/>
    </row>
    <row r="155" spans="21:21" x14ac:dyDescent="0.2">
      <c r="U155" s="196"/>
    </row>
    <row r="156" spans="21:21" x14ac:dyDescent="0.2">
      <c r="U156" s="196"/>
    </row>
    <row r="157" spans="21:21" x14ac:dyDescent="0.2">
      <c r="U157" s="196"/>
    </row>
    <row r="158" spans="21:21" x14ac:dyDescent="0.2">
      <c r="U158" s="196"/>
    </row>
    <row r="159" spans="21:21" x14ac:dyDescent="0.2">
      <c r="U159" s="196"/>
    </row>
    <row r="160" spans="21:21" x14ac:dyDescent="0.2">
      <c r="U160" s="196"/>
    </row>
    <row r="161" spans="21:21" x14ac:dyDescent="0.2">
      <c r="U161" s="196"/>
    </row>
    <row r="162" spans="21:21" x14ac:dyDescent="0.2">
      <c r="U162" s="196"/>
    </row>
    <row r="163" spans="21:21" x14ac:dyDescent="0.2">
      <c r="U163" s="196"/>
    </row>
    <row r="164" spans="21:21" x14ac:dyDescent="0.2">
      <c r="U164" s="196"/>
    </row>
    <row r="165" spans="21:21" x14ac:dyDescent="0.2">
      <c r="U165" s="196"/>
    </row>
    <row r="166" spans="21:21" x14ac:dyDescent="0.2">
      <c r="U166" s="196"/>
    </row>
    <row r="167" spans="21:21" x14ac:dyDescent="0.2">
      <c r="U167" s="196"/>
    </row>
    <row r="168" spans="21:21" x14ac:dyDescent="0.2">
      <c r="U168" s="196"/>
    </row>
    <row r="169" spans="21:21" x14ac:dyDescent="0.2">
      <c r="U169" s="196"/>
    </row>
    <row r="170" spans="21:21" x14ac:dyDescent="0.2">
      <c r="U170" s="196"/>
    </row>
    <row r="171" spans="21:21" x14ac:dyDescent="0.2">
      <c r="U171" s="196"/>
    </row>
    <row r="172" spans="21:21" x14ac:dyDescent="0.2">
      <c r="U172" s="196"/>
    </row>
    <row r="173" spans="21:21" x14ac:dyDescent="0.2">
      <c r="U173" s="196"/>
    </row>
    <row r="174" spans="21:21" x14ac:dyDescent="0.2">
      <c r="U174" s="196"/>
    </row>
    <row r="175" spans="21:21" x14ac:dyDescent="0.2">
      <c r="U175" s="196"/>
    </row>
    <row r="176" spans="21:21" x14ac:dyDescent="0.2">
      <c r="U176" s="196"/>
    </row>
    <row r="177" spans="21:21" x14ac:dyDescent="0.2">
      <c r="U177" s="196"/>
    </row>
    <row r="178" spans="21:21" x14ac:dyDescent="0.2">
      <c r="U178" s="196"/>
    </row>
    <row r="179" spans="21:21" x14ac:dyDescent="0.2">
      <c r="U179" s="196"/>
    </row>
    <row r="180" spans="21:21" x14ac:dyDescent="0.2">
      <c r="U180" s="196"/>
    </row>
    <row r="181" spans="21:21" x14ac:dyDescent="0.2">
      <c r="U181" s="196"/>
    </row>
    <row r="182" spans="21:21" x14ac:dyDescent="0.2">
      <c r="U182" s="196"/>
    </row>
    <row r="183" spans="21:21" x14ac:dyDescent="0.2">
      <c r="U183" s="196"/>
    </row>
    <row r="184" spans="21:21" x14ac:dyDescent="0.2">
      <c r="U184" s="196"/>
    </row>
    <row r="185" spans="21:21" x14ac:dyDescent="0.2">
      <c r="U185" s="196"/>
    </row>
    <row r="186" spans="21:21" x14ac:dyDescent="0.2">
      <c r="U186" s="196"/>
    </row>
    <row r="187" spans="21:21" x14ac:dyDescent="0.2">
      <c r="U187" s="196"/>
    </row>
    <row r="188" spans="21:21" x14ac:dyDescent="0.2">
      <c r="U188" s="196"/>
    </row>
    <row r="189" spans="21:21" x14ac:dyDescent="0.2">
      <c r="U189" s="196"/>
    </row>
    <row r="190" spans="21:21" x14ac:dyDescent="0.2">
      <c r="U190" s="196"/>
    </row>
    <row r="191" spans="21:21" x14ac:dyDescent="0.2">
      <c r="U191" s="196"/>
    </row>
    <row r="192" spans="21:21" x14ac:dyDescent="0.2">
      <c r="U192" s="196"/>
    </row>
    <row r="193" spans="21:21" x14ac:dyDescent="0.2">
      <c r="U193" s="196"/>
    </row>
    <row r="194" spans="21:21" x14ac:dyDescent="0.2">
      <c r="U194" s="196"/>
    </row>
    <row r="195" spans="21:21" x14ac:dyDescent="0.2">
      <c r="U195" s="196"/>
    </row>
    <row r="196" spans="21:21" x14ac:dyDescent="0.2">
      <c r="U196" s="196"/>
    </row>
    <row r="197" spans="21:21" x14ac:dyDescent="0.2">
      <c r="U197" s="196"/>
    </row>
  </sheetData>
  <mergeCells count="46">
    <mergeCell ref="A6:L6"/>
    <mergeCell ref="M6:U6"/>
    <mergeCell ref="H4:Q4"/>
    <mergeCell ref="R4:U4"/>
    <mergeCell ref="A5:B5"/>
    <mergeCell ref="H5:Q5"/>
    <mergeCell ref="R5:U5"/>
    <mergeCell ref="A7:A9"/>
    <mergeCell ref="B7:B9"/>
    <mergeCell ref="C7:J7"/>
    <mergeCell ref="K7:K9"/>
    <mergeCell ref="L7:L9"/>
    <mergeCell ref="C8:C9"/>
    <mergeCell ref="D8:D9"/>
    <mergeCell ref="E8:G8"/>
    <mergeCell ref="H8:J8"/>
    <mergeCell ref="S15:T15"/>
    <mergeCell ref="N7:N9"/>
    <mergeCell ref="O7:O9"/>
    <mergeCell ref="P7:P9"/>
    <mergeCell ref="Q7:Q9"/>
    <mergeCell ref="R7:R9"/>
    <mergeCell ref="S7:U9"/>
    <mergeCell ref="M10:U10"/>
    <mergeCell ref="M11:T11"/>
    <mergeCell ref="S12:T12"/>
    <mergeCell ref="S13:T13"/>
    <mergeCell ref="S14:T14"/>
    <mergeCell ref="M7:M9"/>
    <mergeCell ref="S27:T27"/>
    <mergeCell ref="S16:T16"/>
    <mergeCell ref="S17:T17"/>
    <mergeCell ref="S18:T18"/>
    <mergeCell ref="S19:T19"/>
    <mergeCell ref="M20:T20"/>
    <mergeCell ref="S21:T21"/>
    <mergeCell ref="S22:T22"/>
    <mergeCell ref="S23:T23"/>
    <mergeCell ref="S24:T24"/>
    <mergeCell ref="S25:T25"/>
    <mergeCell ref="S26:T26"/>
    <mergeCell ref="S28:T28"/>
    <mergeCell ref="S29:T29"/>
    <mergeCell ref="A30:U30"/>
    <mergeCell ref="A31:L31"/>
    <mergeCell ref="M31:U31"/>
  </mergeCells>
  <printOptions horizontalCentered="1"/>
  <pageMargins left="0" right="0" top="0.15748031496062992" bottom="0" header="0.31496062992125984" footer="0.31496062992125984"/>
  <pageSetup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47"/>
  <sheetViews>
    <sheetView zoomScaleNormal="100" workbookViewId="0">
      <selection activeCell="L13" sqref="L13:M13"/>
    </sheetView>
  </sheetViews>
  <sheetFormatPr defaultColWidth="9.140625" defaultRowHeight="23.25" x14ac:dyDescent="0.7"/>
  <cols>
    <col min="1" max="1" width="10.42578125" style="342" customWidth="1"/>
    <col min="2" max="2" width="11" style="342" customWidth="1"/>
    <col min="3" max="3" width="1.140625" style="342" customWidth="1"/>
    <col min="4" max="4" width="10" style="343" customWidth="1"/>
    <col min="5" max="5" width="11.42578125" style="343" bestFit="1" customWidth="1"/>
    <col min="6" max="6" width="11.42578125" style="344" customWidth="1"/>
    <col min="7" max="7" width="11.85546875" style="344" customWidth="1"/>
    <col min="8" max="9" width="11.42578125" style="344" customWidth="1"/>
    <col min="10" max="10" width="12.140625" style="344" customWidth="1"/>
    <col min="11" max="11" width="11.5703125" style="344" customWidth="1"/>
    <col min="12" max="12" width="36" style="152" customWidth="1"/>
    <col min="13" max="13" width="13.28515625" style="152" customWidth="1"/>
    <col min="14" max="14" width="20.85546875" style="152" customWidth="1"/>
    <col min="15" max="16" width="5.85546875" style="332" customWidth="1"/>
    <col min="17" max="17" width="10.28515625" style="333" customWidth="1"/>
    <col min="18" max="18" width="10.5703125" style="333" bestFit="1" customWidth="1"/>
    <col min="19" max="19" width="24.5703125" style="334" customWidth="1"/>
    <col min="20" max="20" width="14.7109375" style="333" customWidth="1"/>
    <col min="21" max="21" width="20.42578125" style="333" customWidth="1"/>
    <col min="22" max="22" width="9.140625" style="333" customWidth="1"/>
    <col min="23" max="23" width="14.85546875" style="333" customWidth="1"/>
    <col min="24" max="24" width="15" style="333" customWidth="1"/>
    <col min="25" max="96" width="9.140625" style="333" customWidth="1"/>
    <col min="97" max="16384" width="9.140625" style="328"/>
  </cols>
  <sheetData>
    <row r="1" spans="1:96" ht="13.5" customHeight="1" thickBot="1" x14ac:dyDescent="0.75">
      <c r="A1" s="328"/>
      <c r="B1" s="328"/>
      <c r="C1" s="328"/>
      <c r="D1" s="934"/>
      <c r="E1" s="934"/>
      <c r="F1" s="934"/>
      <c r="G1" s="329"/>
      <c r="H1" s="330"/>
      <c r="I1" s="330"/>
      <c r="J1" s="330"/>
      <c r="K1" s="329"/>
      <c r="L1" s="100"/>
      <c r="M1" s="100"/>
      <c r="N1" s="331"/>
    </row>
    <row r="2" spans="1:96" ht="33" customHeight="1" x14ac:dyDescent="0.2">
      <c r="A2" s="935" t="s">
        <v>20</v>
      </c>
      <c r="B2" s="936"/>
      <c r="C2" s="335"/>
      <c r="D2" s="336"/>
      <c r="E2" s="336"/>
      <c r="F2" s="102"/>
      <c r="G2" s="102"/>
      <c r="H2" s="939" t="s">
        <v>329</v>
      </c>
      <c r="I2" s="939"/>
      <c r="J2" s="939"/>
      <c r="K2" s="940"/>
      <c r="L2" s="941" t="s">
        <v>312</v>
      </c>
      <c r="M2" s="942"/>
      <c r="N2" s="942"/>
      <c r="O2" s="943"/>
      <c r="P2" s="337"/>
    </row>
    <row r="3" spans="1:96" ht="27" customHeight="1" thickBot="1" x14ac:dyDescent="0.25">
      <c r="A3" s="937"/>
      <c r="B3" s="938"/>
      <c r="C3" s="338"/>
      <c r="D3" s="339"/>
      <c r="E3" s="339"/>
      <c r="F3" s="104"/>
      <c r="G3" s="104"/>
      <c r="H3" s="944" t="s">
        <v>331</v>
      </c>
      <c r="I3" s="944"/>
      <c r="J3" s="944"/>
      <c r="K3" s="945"/>
      <c r="L3" s="946" t="s">
        <v>141</v>
      </c>
      <c r="M3" s="947"/>
      <c r="N3" s="947"/>
      <c r="O3" s="948"/>
      <c r="P3" s="337"/>
    </row>
    <row r="4" spans="1:96" ht="42.75" customHeight="1" thickBot="1" x14ac:dyDescent="0.25">
      <c r="A4" s="920" t="s">
        <v>33</v>
      </c>
      <c r="B4" s="921"/>
      <c r="C4" s="103"/>
      <c r="D4" s="922" t="s">
        <v>359</v>
      </c>
      <c r="E4" s="924" t="s">
        <v>98</v>
      </c>
      <c r="F4" s="926" t="s">
        <v>314</v>
      </c>
      <c r="G4" s="926"/>
      <c r="H4" s="927"/>
      <c r="I4" s="926" t="s">
        <v>313</v>
      </c>
      <c r="J4" s="926"/>
      <c r="K4" s="927"/>
      <c r="L4" s="928" t="s">
        <v>3</v>
      </c>
      <c r="M4" s="929"/>
      <c r="N4" s="929"/>
      <c r="O4" s="930"/>
      <c r="P4" s="340"/>
    </row>
    <row r="5" spans="1:96" ht="50.25" customHeight="1" thickBot="1" x14ac:dyDescent="0.25">
      <c r="A5" s="105" t="s">
        <v>316</v>
      </c>
      <c r="B5" s="106" t="s">
        <v>305</v>
      </c>
      <c r="C5" s="103"/>
      <c r="D5" s="923"/>
      <c r="E5" s="925"/>
      <c r="F5" s="107" t="s">
        <v>1</v>
      </c>
      <c r="G5" s="108" t="s">
        <v>140</v>
      </c>
      <c r="H5" s="109" t="s">
        <v>275</v>
      </c>
      <c r="I5" s="107" t="s">
        <v>1</v>
      </c>
      <c r="J5" s="108" t="s">
        <v>140</v>
      </c>
      <c r="K5" s="109" t="s">
        <v>275</v>
      </c>
      <c r="L5" s="931"/>
      <c r="M5" s="932"/>
      <c r="N5" s="932"/>
      <c r="O5" s="933"/>
      <c r="P5" s="340"/>
      <c r="S5" s="341"/>
      <c r="CR5" s="328"/>
    </row>
    <row r="6" spans="1:96" ht="24" customHeight="1" x14ac:dyDescent="0.2">
      <c r="A6" s="110">
        <f>A7+A21+A65+A67+A84</f>
        <v>217840</v>
      </c>
      <c r="B6" s="111">
        <f>B7+B21+B65+B67+B84</f>
        <v>185950</v>
      </c>
      <c r="C6" s="112">
        <f>C7+C21+C65+C67+C84</f>
        <v>0</v>
      </c>
      <c r="D6" s="373">
        <f>D7+D21+D65+D67+D84</f>
        <v>100</v>
      </c>
      <c r="E6" s="354">
        <f>((F6-I6)/I6)*100</f>
        <v>58.777823893868174</v>
      </c>
      <c r="F6" s="113">
        <f t="shared" ref="F6:K6" si="0">F7+F21+F65+F67+F84</f>
        <v>849274</v>
      </c>
      <c r="G6" s="114">
        <f t="shared" si="0"/>
        <v>201356</v>
      </c>
      <c r="H6" s="590">
        <f t="shared" si="0"/>
        <v>647918</v>
      </c>
      <c r="I6" s="114">
        <f t="shared" si="0"/>
        <v>534882</v>
      </c>
      <c r="J6" s="114">
        <f t="shared" si="0"/>
        <v>86465</v>
      </c>
      <c r="K6" s="114">
        <f t="shared" si="0"/>
        <v>448417</v>
      </c>
      <c r="L6" s="912" t="s">
        <v>26</v>
      </c>
      <c r="M6" s="913"/>
      <c r="N6" s="913"/>
      <c r="O6" s="914" t="s">
        <v>227</v>
      </c>
      <c r="P6" s="340"/>
      <c r="S6" s="341"/>
      <c r="CR6" s="328"/>
    </row>
    <row r="7" spans="1:96" s="333" customFormat="1" ht="24" customHeight="1" thickBot="1" x14ac:dyDescent="0.25">
      <c r="A7" s="115">
        <f>SUM(A8:A20)</f>
        <v>0</v>
      </c>
      <c r="B7" s="116">
        <f>SUM(B8:B20)</f>
        <v>0</v>
      </c>
      <c r="C7" s="117"/>
      <c r="D7" s="374">
        <f>(F7/$F$6)*100</f>
        <v>3.7878234821741867</v>
      </c>
      <c r="E7" s="375">
        <f>((F7-I7)/I7)*100</f>
        <v>20.154633399320211</v>
      </c>
      <c r="F7" s="118">
        <f t="shared" ref="F7:K7" si="1">SUM(F8:F20)</f>
        <v>32169</v>
      </c>
      <c r="G7" s="119">
        <f t="shared" si="1"/>
        <v>5320</v>
      </c>
      <c r="H7" s="116">
        <f t="shared" si="1"/>
        <v>26849</v>
      </c>
      <c r="I7" s="120">
        <f t="shared" si="1"/>
        <v>26773</v>
      </c>
      <c r="J7" s="120">
        <f t="shared" si="1"/>
        <v>4571</v>
      </c>
      <c r="K7" s="120">
        <f t="shared" si="1"/>
        <v>22202</v>
      </c>
      <c r="L7" s="916" t="s">
        <v>228</v>
      </c>
      <c r="M7" s="917"/>
      <c r="N7" s="917"/>
      <c r="O7" s="915"/>
      <c r="P7" s="340"/>
      <c r="S7" s="341"/>
    </row>
    <row r="8" spans="1:96" s="333" customFormat="1" ht="24" customHeight="1" x14ac:dyDescent="0.7">
      <c r="A8" s="121">
        <v>0</v>
      </c>
      <c r="B8" s="122">
        <v>0</v>
      </c>
      <c r="C8" s="117"/>
      <c r="D8" s="354">
        <f t="shared" ref="D8:D20" si="2">(F8/$F$6)*100</f>
        <v>0</v>
      </c>
      <c r="E8" s="345">
        <v>0</v>
      </c>
      <c r="F8" s="123">
        <f t="shared" ref="F8:F20" si="3">H8+G8</f>
        <v>0</v>
      </c>
      <c r="G8" s="125">
        <v>0</v>
      </c>
      <c r="H8" s="125">
        <v>0</v>
      </c>
      <c r="I8" s="584">
        <f t="shared" ref="I8:I20" si="4">K8+J8</f>
        <v>0</v>
      </c>
      <c r="J8" s="629">
        <v>0</v>
      </c>
      <c r="K8" s="111">
        <v>0</v>
      </c>
      <c r="L8" s="878" t="s">
        <v>48</v>
      </c>
      <c r="M8" s="879"/>
      <c r="N8" s="918" t="s">
        <v>14</v>
      </c>
      <c r="O8" s="349">
        <v>1</v>
      </c>
      <c r="P8" s="332"/>
    </row>
    <row r="9" spans="1:96" s="333" customFormat="1" ht="26.25" customHeight="1" x14ac:dyDescent="0.7">
      <c r="A9" s="126">
        <v>0</v>
      </c>
      <c r="B9" s="127">
        <v>0</v>
      </c>
      <c r="C9" s="117"/>
      <c r="D9" s="355">
        <f t="shared" si="2"/>
        <v>0</v>
      </c>
      <c r="E9" s="347">
        <v>0</v>
      </c>
      <c r="F9" s="123">
        <f t="shared" si="3"/>
        <v>0</v>
      </c>
      <c r="G9" s="129">
        <v>0</v>
      </c>
      <c r="H9" s="129">
        <v>0</v>
      </c>
      <c r="I9" s="121">
        <f t="shared" si="4"/>
        <v>0</v>
      </c>
      <c r="J9" s="129">
        <v>0</v>
      </c>
      <c r="K9" s="591">
        <v>0</v>
      </c>
      <c r="L9" s="880" t="s">
        <v>49</v>
      </c>
      <c r="M9" s="881"/>
      <c r="N9" s="886"/>
      <c r="O9" s="132">
        <v>2</v>
      </c>
      <c r="P9" s="332"/>
    </row>
    <row r="10" spans="1:96" s="333" customFormat="1" ht="27" x14ac:dyDescent="0.7">
      <c r="A10" s="126">
        <v>0</v>
      </c>
      <c r="B10" s="127">
        <v>0</v>
      </c>
      <c r="C10" s="117"/>
      <c r="D10" s="355">
        <f t="shared" si="2"/>
        <v>0</v>
      </c>
      <c r="E10" s="347">
        <v>0</v>
      </c>
      <c r="F10" s="123">
        <f t="shared" si="3"/>
        <v>0</v>
      </c>
      <c r="G10" s="131">
        <v>0</v>
      </c>
      <c r="H10" s="131">
        <v>0</v>
      </c>
      <c r="I10" s="121">
        <f t="shared" si="4"/>
        <v>0</v>
      </c>
      <c r="J10" s="131">
        <v>0</v>
      </c>
      <c r="K10" s="127">
        <v>0</v>
      </c>
      <c r="L10" s="880" t="s">
        <v>47</v>
      </c>
      <c r="M10" s="881"/>
      <c r="N10" s="886"/>
      <c r="O10" s="132">
        <v>3</v>
      </c>
      <c r="P10" s="332"/>
    </row>
    <row r="11" spans="1:96" s="333" customFormat="1" ht="27" x14ac:dyDescent="0.7">
      <c r="A11" s="126">
        <v>0</v>
      </c>
      <c r="B11" s="127">
        <v>0</v>
      </c>
      <c r="C11" s="117"/>
      <c r="D11" s="355">
        <f t="shared" si="2"/>
        <v>0</v>
      </c>
      <c r="E11" s="347">
        <v>0</v>
      </c>
      <c r="F11" s="123">
        <f t="shared" si="3"/>
        <v>0</v>
      </c>
      <c r="G11" s="131">
        <v>0</v>
      </c>
      <c r="H11" s="131">
        <v>0</v>
      </c>
      <c r="I11" s="121">
        <f t="shared" si="4"/>
        <v>0</v>
      </c>
      <c r="J11" s="131">
        <v>0</v>
      </c>
      <c r="K11" s="127">
        <v>0</v>
      </c>
      <c r="L11" s="880" t="s">
        <v>94</v>
      </c>
      <c r="M11" s="881"/>
      <c r="N11" s="886"/>
      <c r="O11" s="132">
        <v>4</v>
      </c>
      <c r="P11" s="332"/>
    </row>
    <row r="12" spans="1:96" s="333" customFormat="1" ht="24" customHeight="1" x14ac:dyDescent="0.7">
      <c r="A12" s="126">
        <v>0</v>
      </c>
      <c r="B12" s="127">
        <v>0</v>
      </c>
      <c r="C12" s="117"/>
      <c r="D12" s="355">
        <f t="shared" si="2"/>
        <v>0</v>
      </c>
      <c r="E12" s="347">
        <v>0</v>
      </c>
      <c r="F12" s="123">
        <f t="shared" si="3"/>
        <v>0</v>
      </c>
      <c r="G12" s="131">
        <v>0</v>
      </c>
      <c r="H12" s="131">
        <v>0</v>
      </c>
      <c r="I12" s="121">
        <f t="shared" si="4"/>
        <v>0</v>
      </c>
      <c r="J12" s="131">
        <v>0</v>
      </c>
      <c r="K12" s="127">
        <v>0</v>
      </c>
      <c r="L12" s="880" t="s">
        <v>97</v>
      </c>
      <c r="M12" s="881"/>
      <c r="N12" s="886"/>
      <c r="O12" s="132">
        <v>5</v>
      </c>
      <c r="P12" s="332"/>
    </row>
    <row r="13" spans="1:96" s="333" customFormat="1" ht="24" customHeight="1" x14ac:dyDescent="0.7">
      <c r="A13" s="126">
        <v>0</v>
      </c>
      <c r="B13" s="127">
        <v>0</v>
      </c>
      <c r="C13" s="117"/>
      <c r="D13" s="355">
        <f t="shared" si="2"/>
        <v>5.0631480535139432E-2</v>
      </c>
      <c r="E13" s="347">
        <f t="shared" ref="E13:E19" si="5">((F13-I13)/I13)*100</f>
        <v>20.11173184357542</v>
      </c>
      <c r="F13" s="123">
        <f t="shared" si="3"/>
        <v>430</v>
      </c>
      <c r="G13" s="130">
        <v>430</v>
      </c>
      <c r="H13" s="131">
        <v>0</v>
      </c>
      <c r="I13" s="121">
        <f t="shared" si="4"/>
        <v>358</v>
      </c>
      <c r="J13" s="130">
        <v>358</v>
      </c>
      <c r="K13" s="127">
        <v>0</v>
      </c>
      <c r="L13" s="882" t="s">
        <v>260</v>
      </c>
      <c r="M13" s="883"/>
      <c r="N13" s="886"/>
      <c r="O13" s="132">
        <v>6</v>
      </c>
      <c r="P13" s="332"/>
    </row>
    <row r="14" spans="1:96" s="333" customFormat="1" ht="27" x14ac:dyDescent="0.2">
      <c r="A14" s="126">
        <v>0</v>
      </c>
      <c r="B14" s="127">
        <v>0</v>
      </c>
      <c r="C14" s="117"/>
      <c r="D14" s="355">
        <f t="shared" si="2"/>
        <v>0.33263705235295088</v>
      </c>
      <c r="E14" s="347">
        <f t="shared" si="5"/>
        <v>20.110544217687075</v>
      </c>
      <c r="F14" s="123">
        <f t="shared" si="3"/>
        <v>2825</v>
      </c>
      <c r="G14" s="130">
        <v>2825</v>
      </c>
      <c r="H14" s="131">
        <v>0</v>
      </c>
      <c r="I14" s="121">
        <f t="shared" si="4"/>
        <v>2352</v>
      </c>
      <c r="J14" s="130">
        <v>2352</v>
      </c>
      <c r="K14" s="127">
        <v>0</v>
      </c>
      <c r="L14" s="919" t="s">
        <v>301</v>
      </c>
      <c r="M14" s="886"/>
      <c r="N14" s="886"/>
      <c r="O14" s="132">
        <v>7</v>
      </c>
      <c r="P14" s="151"/>
    </row>
    <row r="15" spans="1:96" s="333" customFormat="1" ht="24" customHeight="1" x14ac:dyDescent="0.7">
      <c r="A15" s="126">
        <v>0</v>
      </c>
      <c r="B15" s="127">
        <v>0</v>
      </c>
      <c r="C15" s="117"/>
      <c r="D15" s="355">
        <f t="shared" si="2"/>
        <v>2.7023080890266273</v>
      </c>
      <c r="E15" s="347">
        <f t="shared" si="5"/>
        <v>20.094191522762952</v>
      </c>
      <c r="F15" s="123">
        <f t="shared" si="3"/>
        <v>22950</v>
      </c>
      <c r="G15" s="130">
        <v>0</v>
      </c>
      <c r="H15" s="131">
        <v>22950</v>
      </c>
      <c r="I15" s="121">
        <f t="shared" si="4"/>
        <v>19110</v>
      </c>
      <c r="J15" s="130">
        <v>0</v>
      </c>
      <c r="K15" s="127">
        <v>19110</v>
      </c>
      <c r="L15" s="880" t="s">
        <v>48</v>
      </c>
      <c r="M15" s="881"/>
      <c r="N15" s="902" t="s">
        <v>116</v>
      </c>
      <c r="O15" s="132">
        <v>8</v>
      </c>
      <c r="P15" s="332"/>
    </row>
    <row r="16" spans="1:96" s="333" customFormat="1" ht="24" customHeight="1" x14ac:dyDescent="0.7">
      <c r="A16" s="126">
        <v>0</v>
      </c>
      <c r="B16" s="127">
        <v>0</v>
      </c>
      <c r="C16" s="117"/>
      <c r="D16" s="355">
        <f t="shared" si="2"/>
        <v>4.9336256614473072E-2</v>
      </c>
      <c r="E16" s="347">
        <f t="shared" si="5"/>
        <v>20.057306590257877</v>
      </c>
      <c r="F16" s="123">
        <f t="shared" si="3"/>
        <v>419</v>
      </c>
      <c r="G16" s="130">
        <v>0</v>
      </c>
      <c r="H16" s="131">
        <v>419</v>
      </c>
      <c r="I16" s="121">
        <f t="shared" si="4"/>
        <v>349</v>
      </c>
      <c r="J16" s="130">
        <v>0</v>
      </c>
      <c r="K16" s="127">
        <v>349</v>
      </c>
      <c r="L16" s="880" t="s">
        <v>49</v>
      </c>
      <c r="M16" s="881"/>
      <c r="N16" s="902"/>
      <c r="O16" s="132">
        <v>9</v>
      </c>
      <c r="P16" s="332"/>
      <c r="S16" s="341"/>
    </row>
    <row r="17" spans="1:19" s="333" customFormat="1" ht="24" customHeight="1" x14ac:dyDescent="0.7">
      <c r="A17" s="126">
        <v>0</v>
      </c>
      <c r="B17" s="127">
        <v>0</v>
      </c>
      <c r="C17" s="117"/>
      <c r="D17" s="355">
        <f t="shared" si="2"/>
        <v>0.11774762915148704</v>
      </c>
      <c r="E17" s="347">
        <f t="shared" si="5"/>
        <v>47.928994082840234</v>
      </c>
      <c r="F17" s="123">
        <f t="shared" si="3"/>
        <v>1000</v>
      </c>
      <c r="G17" s="130">
        <v>0</v>
      </c>
      <c r="H17" s="131">
        <v>1000</v>
      </c>
      <c r="I17" s="121">
        <f t="shared" si="4"/>
        <v>676</v>
      </c>
      <c r="J17" s="130">
        <v>0</v>
      </c>
      <c r="K17" s="127">
        <v>676</v>
      </c>
      <c r="L17" s="882" t="s">
        <v>260</v>
      </c>
      <c r="M17" s="883"/>
      <c r="N17" s="902"/>
      <c r="O17" s="132">
        <v>10</v>
      </c>
      <c r="P17" s="332"/>
      <c r="S17" s="341"/>
    </row>
    <row r="18" spans="1:19" s="333" customFormat="1" ht="24" customHeight="1" x14ac:dyDescent="0.7">
      <c r="A18" s="126">
        <v>0</v>
      </c>
      <c r="B18" s="127">
        <v>0</v>
      </c>
      <c r="C18" s="117"/>
      <c r="D18" s="355">
        <f t="shared" si="2"/>
        <v>0.29966771619053451</v>
      </c>
      <c r="E18" s="347">
        <f t="shared" si="5"/>
        <v>8.2978723404255312</v>
      </c>
      <c r="F18" s="123">
        <f t="shared" si="3"/>
        <v>2545</v>
      </c>
      <c r="G18" s="130">
        <v>65</v>
      </c>
      <c r="H18" s="131">
        <v>2480</v>
      </c>
      <c r="I18" s="121">
        <f t="shared" si="4"/>
        <v>2350</v>
      </c>
      <c r="J18" s="130">
        <v>283</v>
      </c>
      <c r="K18" s="127">
        <v>2067</v>
      </c>
      <c r="L18" s="880" t="s">
        <v>108</v>
      </c>
      <c r="M18" s="881"/>
      <c r="N18" s="902"/>
      <c r="O18" s="132">
        <v>11</v>
      </c>
      <c r="P18" s="332"/>
      <c r="S18" s="341"/>
    </row>
    <row r="19" spans="1:19" s="333" customFormat="1" ht="24" customHeight="1" x14ac:dyDescent="0.7">
      <c r="A19" s="126">
        <v>0</v>
      </c>
      <c r="B19" s="127">
        <v>0</v>
      </c>
      <c r="C19" s="117"/>
      <c r="D19" s="355">
        <f t="shared" si="2"/>
        <v>0.23549525830297408</v>
      </c>
      <c r="E19" s="347">
        <f t="shared" si="5"/>
        <v>26.742712294043091</v>
      </c>
      <c r="F19" s="123">
        <f t="shared" si="3"/>
        <v>2000</v>
      </c>
      <c r="G19" s="130">
        <v>2000</v>
      </c>
      <c r="H19" s="131">
        <v>0</v>
      </c>
      <c r="I19" s="121">
        <f t="shared" si="4"/>
        <v>1578</v>
      </c>
      <c r="J19" s="130">
        <v>1578</v>
      </c>
      <c r="K19" s="127">
        <v>0</v>
      </c>
      <c r="L19" s="880" t="s">
        <v>51</v>
      </c>
      <c r="M19" s="881"/>
      <c r="N19" s="902"/>
      <c r="O19" s="132">
        <v>12</v>
      </c>
      <c r="P19" s="332"/>
      <c r="S19" s="341"/>
    </row>
    <row r="20" spans="1:19" s="333" customFormat="1" ht="24" customHeight="1" thickBot="1" x14ac:dyDescent="0.75">
      <c r="A20" s="126">
        <v>0</v>
      </c>
      <c r="B20" s="127">
        <v>0</v>
      </c>
      <c r="C20" s="117"/>
      <c r="D20" s="355">
        <f t="shared" si="2"/>
        <v>0</v>
      </c>
      <c r="E20" s="347">
        <v>0</v>
      </c>
      <c r="F20" s="123">
        <f t="shared" si="3"/>
        <v>0</v>
      </c>
      <c r="G20" s="133">
        <v>0</v>
      </c>
      <c r="H20" s="131">
        <v>0</v>
      </c>
      <c r="I20" s="630">
        <f t="shared" si="4"/>
        <v>0</v>
      </c>
      <c r="J20" s="119">
        <v>0</v>
      </c>
      <c r="K20" s="143">
        <v>0</v>
      </c>
      <c r="L20" s="887" t="s">
        <v>40</v>
      </c>
      <c r="M20" s="888"/>
      <c r="N20" s="893"/>
      <c r="O20" s="350">
        <v>13</v>
      </c>
      <c r="P20" s="332"/>
      <c r="S20" s="341"/>
    </row>
    <row r="21" spans="1:19" s="333" customFormat="1" ht="24" customHeight="1" thickBot="1" x14ac:dyDescent="0.25">
      <c r="A21" s="141">
        <f>SUM(A22:A64)</f>
        <v>217840</v>
      </c>
      <c r="B21" s="137">
        <f>SUM(B22:B64)</f>
        <v>185950</v>
      </c>
      <c r="C21" s="117"/>
      <c r="D21" s="376">
        <f>(F21/$F$6)*100</f>
        <v>89.753130320720999</v>
      </c>
      <c r="E21" s="377">
        <f>((F21-I21)/I21)*100</f>
        <v>67.208856969247606</v>
      </c>
      <c r="F21" s="138">
        <f>SUM(F22:F64)</f>
        <v>762250</v>
      </c>
      <c r="G21" s="139">
        <f t="shared" ref="G21:J21" si="6">SUM(G22:G64)</f>
        <v>181946</v>
      </c>
      <c r="H21" s="140">
        <f t="shared" si="6"/>
        <v>580304</v>
      </c>
      <c r="I21" s="114">
        <f t="shared" si="6"/>
        <v>455867</v>
      </c>
      <c r="J21" s="114">
        <f t="shared" si="6"/>
        <v>67710</v>
      </c>
      <c r="K21" s="114">
        <f>SUM(K22:K64)</f>
        <v>388157</v>
      </c>
      <c r="L21" s="889" t="s">
        <v>229</v>
      </c>
      <c r="M21" s="890"/>
      <c r="N21" s="890"/>
      <c r="O21" s="891"/>
      <c r="P21" s="609"/>
      <c r="S21" s="341"/>
    </row>
    <row r="22" spans="1:19" s="333" customFormat="1" ht="24" customHeight="1" x14ac:dyDescent="0.7">
      <c r="A22" s="126">
        <v>0</v>
      </c>
      <c r="B22" s="127">
        <v>0</v>
      </c>
      <c r="C22" s="117"/>
      <c r="D22" s="355">
        <f t="shared" ref="D22:D83" si="7">(F22/$F$6)*100</f>
        <v>0</v>
      </c>
      <c r="E22" s="346">
        <v>0</v>
      </c>
      <c r="F22" s="123">
        <f t="shared" ref="F22:F66" si="8">H22+G22</f>
        <v>0</v>
      </c>
      <c r="G22" s="124">
        <v>0</v>
      </c>
      <c r="H22" s="125">
        <v>0</v>
      </c>
      <c r="I22" s="584">
        <f>K22+J22</f>
        <v>0</v>
      </c>
      <c r="J22" s="585">
        <v>0</v>
      </c>
      <c r="K22" s="111">
        <v>0</v>
      </c>
      <c r="L22" s="908" t="s">
        <v>147</v>
      </c>
      <c r="M22" s="909"/>
      <c r="N22" s="909"/>
      <c r="O22" s="349">
        <v>14</v>
      </c>
      <c r="P22" s="332"/>
      <c r="S22" s="341"/>
    </row>
    <row r="23" spans="1:19" s="333" customFormat="1" ht="24" customHeight="1" x14ac:dyDescent="0.7">
      <c r="A23" s="126">
        <v>0</v>
      </c>
      <c r="B23" s="127">
        <v>0</v>
      </c>
      <c r="C23" s="117"/>
      <c r="D23" s="355">
        <f t="shared" si="7"/>
        <v>5.9315368185061592</v>
      </c>
      <c r="E23" s="347">
        <f t="shared" ref="E23:E72" si="9">((F23-I23)/I23)*100</f>
        <v>20.003335080280145</v>
      </c>
      <c r="F23" s="123">
        <f t="shared" si="8"/>
        <v>50375</v>
      </c>
      <c r="G23" s="131">
        <v>0</v>
      </c>
      <c r="H23" s="131">
        <v>50375</v>
      </c>
      <c r="I23" s="126">
        <f t="shared" ref="I23:I86" si="10">K23+J23</f>
        <v>41978</v>
      </c>
      <c r="J23" s="130">
        <v>0</v>
      </c>
      <c r="K23" s="127">
        <v>41978</v>
      </c>
      <c r="L23" s="910" t="s">
        <v>222</v>
      </c>
      <c r="M23" s="911"/>
      <c r="N23" s="893" t="s">
        <v>109</v>
      </c>
      <c r="O23" s="132">
        <v>15</v>
      </c>
      <c r="P23" s="332"/>
      <c r="S23" s="341"/>
    </row>
    <row r="24" spans="1:19" s="333" customFormat="1" ht="24" customHeight="1" x14ac:dyDescent="0.7">
      <c r="A24" s="126">
        <v>0</v>
      </c>
      <c r="B24" s="127">
        <v>0</v>
      </c>
      <c r="C24" s="117"/>
      <c r="D24" s="355">
        <f t="shared" si="7"/>
        <v>0.97966027454037208</v>
      </c>
      <c r="E24" s="347">
        <f t="shared" si="9"/>
        <v>20.040398210936374</v>
      </c>
      <c r="F24" s="123">
        <f t="shared" si="8"/>
        <v>8320</v>
      </c>
      <c r="G24" s="131">
        <v>0</v>
      </c>
      <c r="H24" s="131">
        <v>8320</v>
      </c>
      <c r="I24" s="126">
        <f t="shared" si="10"/>
        <v>6931</v>
      </c>
      <c r="J24" s="130">
        <v>0</v>
      </c>
      <c r="K24" s="127">
        <v>6931</v>
      </c>
      <c r="L24" s="882" t="s">
        <v>95</v>
      </c>
      <c r="M24" s="883"/>
      <c r="N24" s="894"/>
      <c r="O24" s="132">
        <v>16</v>
      </c>
      <c r="P24" s="332"/>
      <c r="S24" s="341"/>
    </row>
    <row r="25" spans="1:19" s="333" customFormat="1" ht="24" customHeight="1" x14ac:dyDescent="0.7">
      <c r="A25" s="126">
        <v>0</v>
      </c>
      <c r="B25" s="127">
        <v>0</v>
      </c>
      <c r="C25" s="117"/>
      <c r="D25" s="355">
        <f t="shared" si="7"/>
        <v>0.11186024769391269</v>
      </c>
      <c r="E25" s="347">
        <f t="shared" si="9"/>
        <v>20.71156289707751</v>
      </c>
      <c r="F25" s="123">
        <f t="shared" si="8"/>
        <v>950</v>
      </c>
      <c r="G25" s="131">
        <v>0</v>
      </c>
      <c r="H25" s="131">
        <v>950</v>
      </c>
      <c r="I25" s="126">
        <f t="shared" si="10"/>
        <v>787</v>
      </c>
      <c r="J25" s="130">
        <v>0</v>
      </c>
      <c r="K25" s="127">
        <v>787</v>
      </c>
      <c r="L25" s="882" t="s">
        <v>50</v>
      </c>
      <c r="M25" s="883"/>
      <c r="N25" s="894"/>
      <c r="O25" s="132">
        <v>17</v>
      </c>
      <c r="P25" s="332"/>
      <c r="S25" s="341"/>
    </row>
    <row r="26" spans="1:19" s="333" customFormat="1" ht="24" customHeight="1" x14ac:dyDescent="0.7">
      <c r="A26" s="126">
        <v>0</v>
      </c>
      <c r="B26" s="127">
        <v>0</v>
      </c>
      <c r="C26" s="117"/>
      <c r="D26" s="355">
        <f t="shared" si="7"/>
        <v>0.66645158099741664</v>
      </c>
      <c r="E26" s="347">
        <f t="shared" si="9"/>
        <v>10.871694417238002</v>
      </c>
      <c r="F26" s="123">
        <f t="shared" si="8"/>
        <v>5660</v>
      </c>
      <c r="G26" s="131">
        <v>260</v>
      </c>
      <c r="H26" s="131">
        <v>5400</v>
      </c>
      <c r="I26" s="126">
        <f t="shared" si="10"/>
        <v>5105</v>
      </c>
      <c r="J26" s="130">
        <v>575</v>
      </c>
      <c r="K26" s="127">
        <v>4530</v>
      </c>
      <c r="L26" s="882" t="s">
        <v>52</v>
      </c>
      <c r="M26" s="883"/>
      <c r="N26" s="894"/>
      <c r="O26" s="132">
        <v>18</v>
      </c>
      <c r="P26" s="332"/>
      <c r="S26" s="341"/>
    </row>
    <row r="27" spans="1:19" s="333" customFormat="1" ht="24" customHeight="1" x14ac:dyDescent="0.7">
      <c r="A27" s="126">
        <v>0</v>
      </c>
      <c r="B27" s="127">
        <v>0</v>
      </c>
      <c r="C27" s="117"/>
      <c r="D27" s="355">
        <f t="shared" si="7"/>
        <v>0.44744099077565075</v>
      </c>
      <c r="E27" s="347">
        <f t="shared" si="9"/>
        <v>28.59560067681895</v>
      </c>
      <c r="F27" s="123">
        <f t="shared" si="8"/>
        <v>3800</v>
      </c>
      <c r="G27" s="131">
        <v>3800</v>
      </c>
      <c r="H27" s="131">
        <v>0</v>
      </c>
      <c r="I27" s="126">
        <f t="shared" si="10"/>
        <v>2955</v>
      </c>
      <c r="J27" s="130">
        <v>2955</v>
      </c>
      <c r="K27" s="127">
        <v>0</v>
      </c>
      <c r="L27" s="882" t="s">
        <v>94</v>
      </c>
      <c r="M27" s="883"/>
      <c r="N27" s="894"/>
      <c r="O27" s="132">
        <v>19</v>
      </c>
      <c r="P27" s="332"/>
      <c r="S27" s="341"/>
    </row>
    <row r="28" spans="1:19" s="333" customFormat="1" ht="24" customHeight="1" x14ac:dyDescent="0.7">
      <c r="A28" s="126">
        <v>0</v>
      </c>
      <c r="B28" s="127">
        <v>0</v>
      </c>
      <c r="C28" s="117"/>
      <c r="D28" s="355">
        <f t="shared" si="7"/>
        <v>0.23549525830297408</v>
      </c>
      <c r="E28" s="347">
        <f t="shared" si="9"/>
        <v>-5.1233396584440225</v>
      </c>
      <c r="F28" s="123">
        <f t="shared" si="8"/>
        <v>2000</v>
      </c>
      <c r="G28" s="131">
        <v>0</v>
      </c>
      <c r="H28" s="131">
        <v>2000</v>
      </c>
      <c r="I28" s="126">
        <f t="shared" si="10"/>
        <v>2108</v>
      </c>
      <c r="J28" s="130">
        <v>774</v>
      </c>
      <c r="K28" s="127">
        <v>1334</v>
      </c>
      <c r="L28" s="882" t="s">
        <v>96</v>
      </c>
      <c r="M28" s="883"/>
      <c r="N28" s="894"/>
      <c r="O28" s="132">
        <v>20</v>
      </c>
      <c r="P28" s="332"/>
      <c r="S28" s="341"/>
    </row>
    <row r="29" spans="1:19" s="333" customFormat="1" ht="24" customHeight="1" x14ac:dyDescent="0.7">
      <c r="A29" s="126">
        <v>0</v>
      </c>
      <c r="B29" s="127">
        <v>0</v>
      </c>
      <c r="C29" s="117"/>
      <c r="D29" s="355">
        <f t="shared" si="7"/>
        <v>0.69765470272256069</v>
      </c>
      <c r="E29" s="347">
        <f t="shared" si="9"/>
        <v>20.085123631941627</v>
      </c>
      <c r="F29" s="123">
        <f t="shared" si="8"/>
        <v>5925</v>
      </c>
      <c r="G29" s="131">
        <v>0</v>
      </c>
      <c r="H29" s="131">
        <v>5925</v>
      </c>
      <c r="I29" s="126">
        <f t="shared" si="10"/>
        <v>4934</v>
      </c>
      <c r="J29" s="130">
        <v>0</v>
      </c>
      <c r="K29" s="127">
        <v>4934</v>
      </c>
      <c r="L29" s="882" t="s">
        <v>99</v>
      </c>
      <c r="M29" s="883"/>
      <c r="N29" s="894"/>
      <c r="O29" s="132">
        <v>21</v>
      </c>
      <c r="P29" s="332"/>
      <c r="S29" s="341"/>
    </row>
    <row r="30" spans="1:19" s="333" customFormat="1" ht="24" customHeight="1" x14ac:dyDescent="0.7">
      <c r="A30" s="126">
        <v>0</v>
      </c>
      <c r="B30" s="127">
        <v>0</v>
      </c>
      <c r="C30" s="117"/>
      <c r="D30" s="355">
        <f t="shared" si="7"/>
        <v>0</v>
      </c>
      <c r="E30" s="347">
        <v>0</v>
      </c>
      <c r="F30" s="123">
        <f t="shared" si="8"/>
        <v>0</v>
      </c>
      <c r="G30" s="131">
        <v>0</v>
      </c>
      <c r="H30" s="131">
        <v>0</v>
      </c>
      <c r="I30" s="126">
        <f t="shared" si="10"/>
        <v>0</v>
      </c>
      <c r="J30" s="130">
        <v>0</v>
      </c>
      <c r="K30" s="127">
        <v>0</v>
      </c>
      <c r="L30" s="882" t="s">
        <v>40</v>
      </c>
      <c r="M30" s="883"/>
      <c r="N30" s="895"/>
      <c r="O30" s="132">
        <v>22</v>
      </c>
      <c r="P30" s="332"/>
      <c r="S30" s="341"/>
    </row>
    <row r="31" spans="1:19" s="333" customFormat="1" ht="24" customHeight="1" x14ac:dyDescent="0.7">
      <c r="A31" s="126">
        <v>0</v>
      </c>
      <c r="B31" s="127">
        <v>0</v>
      </c>
      <c r="C31" s="117"/>
      <c r="D31" s="355">
        <f t="shared" si="7"/>
        <v>0.20723582730661719</v>
      </c>
      <c r="E31" s="347">
        <f t="shared" si="9"/>
        <v>20.21857923497268</v>
      </c>
      <c r="F31" s="123">
        <f t="shared" si="8"/>
        <v>1760</v>
      </c>
      <c r="G31" s="131">
        <v>0</v>
      </c>
      <c r="H31" s="131">
        <v>1760</v>
      </c>
      <c r="I31" s="126">
        <f t="shared" si="10"/>
        <v>1464</v>
      </c>
      <c r="J31" s="130">
        <v>0</v>
      </c>
      <c r="K31" s="127">
        <v>1464</v>
      </c>
      <c r="L31" s="880" t="s">
        <v>221</v>
      </c>
      <c r="M31" s="881"/>
      <c r="N31" s="881"/>
      <c r="O31" s="132">
        <v>23</v>
      </c>
      <c r="P31" s="332"/>
      <c r="S31" s="341"/>
    </row>
    <row r="32" spans="1:19" s="333" customFormat="1" ht="24" customHeight="1" x14ac:dyDescent="0.7">
      <c r="A32" s="126">
        <v>0</v>
      </c>
      <c r="B32" s="127">
        <v>0</v>
      </c>
      <c r="C32" s="117"/>
      <c r="D32" s="355">
        <f t="shared" si="7"/>
        <v>0.21547816134722128</v>
      </c>
      <c r="E32" s="347">
        <f t="shared" si="9"/>
        <v>20</v>
      </c>
      <c r="F32" s="123">
        <f t="shared" si="8"/>
        <v>1830</v>
      </c>
      <c r="G32" s="131">
        <v>1830</v>
      </c>
      <c r="H32" s="131">
        <v>0</v>
      </c>
      <c r="I32" s="126">
        <f t="shared" si="10"/>
        <v>1525</v>
      </c>
      <c r="J32" s="130">
        <v>1525</v>
      </c>
      <c r="K32" s="127">
        <v>0</v>
      </c>
      <c r="L32" s="880" t="s">
        <v>278</v>
      </c>
      <c r="M32" s="881"/>
      <c r="N32" s="881"/>
      <c r="O32" s="132">
        <v>24</v>
      </c>
      <c r="P32" s="332"/>
      <c r="S32" s="341"/>
    </row>
    <row r="33" spans="1:20" s="333" customFormat="1" ht="24" customHeight="1" x14ac:dyDescent="0.7">
      <c r="A33" s="126">
        <v>0</v>
      </c>
      <c r="B33" s="127">
        <v>0</v>
      </c>
      <c r="C33" s="117"/>
      <c r="D33" s="355">
        <f t="shared" si="7"/>
        <v>0</v>
      </c>
      <c r="E33" s="347">
        <v>0</v>
      </c>
      <c r="F33" s="123">
        <f t="shared" si="8"/>
        <v>0</v>
      </c>
      <c r="G33" s="131">
        <v>0</v>
      </c>
      <c r="H33" s="131">
        <v>0</v>
      </c>
      <c r="I33" s="126">
        <f t="shared" si="10"/>
        <v>0</v>
      </c>
      <c r="J33" s="130">
        <v>0</v>
      </c>
      <c r="K33" s="127">
        <v>0</v>
      </c>
      <c r="L33" s="880" t="s">
        <v>223</v>
      </c>
      <c r="M33" s="881"/>
      <c r="N33" s="881"/>
      <c r="O33" s="132">
        <v>25</v>
      </c>
      <c r="P33" s="332"/>
      <c r="S33" s="341"/>
    </row>
    <row r="34" spans="1:20" s="333" customFormat="1" ht="24" customHeight="1" x14ac:dyDescent="0.7">
      <c r="A34" s="126">
        <v>0</v>
      </c>
      <c r="B34" s="127">
        <v>0</v>
      </c>
      <c r="C34" s="117"/>
      <c r="D34" s="355">
        <f t="shared" si="7"/>
        <v>0</v>
      </c>
      <c r="E34" s="347">
        <v>0</v>
      </c>
      <c r="F34" s="123">
        <f t="shared" si="8"/>
        <v>0</v>
      </c>
      <c r="G34" s="131">
        <v>0</v>
      </c>
      <c r="H34" s="131">
        <v>0</v>
      </c>
      <c r="I34" s="126">
        <f t="shared" si="10"/>
        <v>0</v>
      </c>
      <c r="J34" s="130">
        <v>0</v>
      </c>
      <c r="K34" s="127">
        <v>0</v>
      </c>
      <c r="L34" s="880" t="s">
        <v>102</v>
      </c>
      <c r="M34" s="881"/>
      <c r="N34" s="881"/>
      <c r="O34" s="132">
        <v>26</v>
      </c>
      <c r="P34" s="332"/>
      <c r="S34" s="341"/>
    </row>
    <row r="35" spans="1:20" s="333" customFormat="1" ht="24" customHeight="1" x14ac:dyDescent="0.7">
      <c r="A35" s="126">
        <v>0</v>
      </c>
      <c r="B35" s="127">
        <v>0</v>
      </c>
      <c r="C35" s="117"/>
      <c r="D35" s="355">
        <f t="shared" si="7"/>
        <v>0</v>
      </c>
      <c r="E35" s="347">
        <v>0</v>
      </c>
      <c r="F35" s="123">
        <f t="shared" si="8"/>
        <v>0</v>
      </c>
      <c r="G35" s="131">
        <v>0</v>
      </c>
      <c r="H35" s="131">
        <v>0</v>
      </c>
      <c r="I35" s="126">
        <f t="shared" si="10"/>
        <v>0</v>
      </c>
      <c r="J35" s="130">
        <v>0</v>
      </c>
      <c r="K35" s="127">
        <v>0</v>
      </c>
      <c r="L35" s="880" t="s">
        <v>17</v>
      </c>
      <c r="M35" s="881"/>
      <c r="N35" s="902" t="s">
        <v>216</v>
      </c>
      <c r="O35" s="132">
        <v>27</v>
      </c>
      <c r="P35" s="332"/>
      <c r="S35" s="341"/>
    </row>
    <row r="36" spans="1:20" s="333" customFormat="1" ht="24" customHeight="1" x14ac:dyDescent="0.7">
      <c r="A36" s="126">
        <v>0</v>
      </c>
      <c r="B36" s="127">
        <v>0</v>
      </c>
      <c r="C36" s="117"/>
      <c r="D36" s="355">
        <f t="shared" si="7"/>
        <v>0</v>
      </c>
      <c r="E36" s="347">
        <v>0</v>
      </c>
      <c r="F36" s="123">
        <f t="shared" si="8"/>
        <v>0</v>
      </c>
      <c r="G36" s="131">
        <v>0</v>
      </c>
      <c r="H36" s="131">
        <v>0</v>
      </c>
      <c r="I36" s="126">
        <f t="shared" si="10"/>
        <v>0</v>
      </c>
      <c r="J36" s="130">
        <v>0</v>
      </c>
      <c r="K36" s="127">
        <v>0</v>
      </c>
      <c r="L36" s="880" t="s">
        <v>30</v>
      </c>
      <c r="M36" s="881"/>
      <c r="N36" s="902"/>
      <c r="O36" s="132">
        <v>28</v>
      </c>
      <c r="P36" s="332"/>
      <c r="Q36" s="341"/>
      <c r="R36" s="341"/>
      <c r="S36" s="341"/>
      <c r="T36" s="341"/>
    </row>
    <row r="37" spans="1:20" s="333" customFormat="1" ht="24" customHeight="1" x14ac:dyDescent="0.7">
      <c r="A37" s="126">
        <v>0</v>
      </c>
      <c r="B37" s="127">
        <v>0</v>
      </c>
      <c r="C37" s="117"/>
      <c r="D37" s="355">
        <f t="shared" si="7"/>
        <v>1.1774762915148702</v>
      </c>
      <c r="E37" s="347">
        <v>0</v>
      </c>
      <c r="F37" s="123">
        <f t="shared" si="8"/>
        <v>10000</v>
      </c>
      <c r="G37" s="131">
        <v>5000</v>
      </c>
      <c r="H37" s="131">
        <v>5000</v>
      </c>
      <c r="I37" s="126">
        <f t="shared" si="10"/>
        <v>0</v>
      </c>
      <c r="J37" s="130">
        <v>0</v>
      </c>
      <c r="K37" s="127">
        <v>0</v>
      </c>
      <c r="L37" s="880" t="s">
        <v>117</v>
      </c>
      <c r="M37" s="881"/>
      <c r="N37" s="902"/>
      <c r="O37" s="132">
        <v>29</v>
      </c>
      <c r="P37" s="332"/>
      <c r="S37" s="341"/>
    </row>
    <row r="38" spans="1:20" s="333" customFormat="1" ht="24" customHeight="1" x14ac:dyDescent="0.7">
      <c r="A38" s="126">
        <v>0</v>
      </c>
      <c r="B38" s="127">
        <v>0</v>
      </c>
      <c r="C38" s="117"/>
      <c r="D38" s="355">
        <f t="shared" si="7"/>
        <v>0</v>
      </c>
      <c r="E38" s="347">
        <v>0</v>
      </c>
      <c r="F38" s="123">
        <f t="shared" si="8"/>
        <v>0</v>
      </c>
      <c r="G38" s="131">
        <v>0</v>
      </c>
      <c r="H38" s="131">
        <v>0</v>
      </c>
      <c r="I38" s="126">
        <f t="shared" si="10"/>
        <v>0</v>
      </c>
      <c r="J38" s="130">
        <v>0</v>
      </c>
      <c r="K38" s="127">
        <v>0</v>
      </c>
      <c r="L38" s="882" t="s">
        <v>110</v>
      </c>
      <c r="M38" s="883"/>
      <c r="N38" s="902"/>
      <c r="O38" s="132">
        <v>30</v>
      </c>
      <c r="P38" s="332"/>
      <c r="S38" s="341"/>
    </row>
    <row r="39" spans="1:20" s="333" customFormat="1" ht="24" customHeight="1" x14ac:dyDescent="0.7">
      <c r="A39" s="126">
        <v>0</v>
      </c>
      <c r="B39" s="127">
        <v>0</v>
      </c>
      <c r="C39" s="117"/>
      <c r="D39" s="355">
        <f t="shared" si="7"/>
        <v>0</v>
      </c>
      <c r="E39" s="347">
        <v>0</v>
      </c>
      <c r="F39" s="123">
        <f t="shared" si="8"/>
        <v>0</v>
      </c>
      <c r="G39" s="131">
        <v>0</v>
      </c>
      <c r="H39" s="131">
        <v>0</v>
      </c>
      <c r="I39" s="126">
        <f t="shared" si="10"/>
        <v>0</v>
      </c>
      <c r="J39" s="130">
        <v>0</v>
      </c>
      <c r="K39" s="127">
        <v>0</v>
      </c>
      <c r="L39" s="882" t="s">
        <v>53</v>
      </c>
      <c r="M39" s="883"/>
      <c r="N39" s="902"/>
      <c r="O39" s="132">
        <v>31</v>
      </c>
      <c r="P39" s="332"/>
      <c r="S39" s="341"/>
    </row>
    <row r="40" spans="1:20" s="333" customFormat="1" ht="24" customHeight="1" x14ac:dyDescent="0.7">
      <c r="A40" s="126">
        <v>0</v>
      </c>
      <c r="B40" s="127">
        <v>0</v>
      </c>
      <c r="C40" s="117"/>
      <c r="D40" s="355">
        <f t="shared" si="7"/>
        <v>0</v>
      </c>
      <c r="E40" s="347">
        <v>0</v>
      </c>
      <c r="F40" s="123">
        <f t="shared" si="8"/>
        <v>0</v>
      </c>
      <c r="G40" s="130">
        <v>0</v>
      </c>
      <c r="H40" s="131">
        <v>0</v>
      </c>
      <c r="I40" s="126">
        <f t="shared" si="10"/>
        <v>0</v>
      </c>
      <c r="J40" s="130">
        <v>0</v>
      </c>
      <c r="K40" s="127">
        <v>0</v>
      </c>
      <c r="L40" s="882" t="s">
        <v>54</v>
      </c>
      <c r="M40" s="883"/>
      <c r="N40" s="902"/>
      <c r="O40" s="132">
        <v>32</v>
      </c>
      <c r="P40" s="332"/>
      <c r="S40" s="341"/>
    </row>
    <row r="41" spans="1:20" s="333" customFormat="1" ht="24" customHeight="1" x14ac:dyDescent="0.7">
      <c r="A41" s="126">
        <v>0</v>
      </c>
      <c r="B41" s="127">
        <v>0</v>
      </c>
      <c r="C41" s="117"/>
      <c r="D41" s="355">
        <f t="shared" si="7"/>
        <v>0.88310721863615271</v>
      </c>
      <c r="E41" s="347">
        <f t="shared" si="9"/>
        <v>35.992747053490483</v>
      </c>
      <c r="F41" s="123">
        <f t="shared" si="8"/>
        <v>7500</v>
      </c>
      <c r="G41" s="130">
        <v>0</v>
      </c>
      <c r="H41" s="131">
        <v>7500</v>
      </c>
      <c r="I41" s="126">
        <f t="shared" si="10"/>
        <v>5515</v>
      </c>
      <c r="J41" s="130">
        <v>0</v>
      </c>
      <c r="K41" s="127">
        <v>5515</v>
      </c>
      <c r="L41" s="880" t="s">
        <v>55</v>
      </c>
      <c r="M41" s="881"/>
      <c r="N41" s="902"/>
      <c r="O41" s="132">
        <v>33</v>
      </c>
      <c r="P41" s="332"/>
      <c r="S41" s="341"/>
    </row>
    <row r="42" spans="1:20" s="333" customFormat="1" ht="24" customHeight="1" x14ac:dyDescent="0.7">
      <c r="A42" s="126">
        <v>0</v>
      </c>
      <c r="B42" s="127">
        <v>0</v>
      </c>
      <c r="C42" s="117"/>
      <c r="D42" s="355">
        <f t="shared" si="7"/>
        <v>0.23549525830297408</v>
      </c>
      <c r="E42" s="347">
        <f t="shared" si="9"/>
        <v>56.25</v>
      </c>
      <c r="F42" s="123">
        <f t="shared" si="8"/>
        <v>2000</v>
      </c>
      <c r="G42" s="130">
        <v>0</v>
      </c>
      <c r="H42" s="131">
        <v>2000</v>
      </c>
      <c r="I42" s="126">
        <f t="shared" si="10"/>
        <v>1280</v>
      </c>
      <c r="J42" s="130">
        <v>0</v>
      </c>
      <c r="K42" s="127">
        <v>1280</v>
      </c>
      <c r="L42" s="880" t="s">
        <v>56</v>
      </c>
      <c r="M42" s="881"/>
      <c r="N42" s="902"/>
      <c r="O42" s="132">
        <v>34</v>
      </c>
      <c r="P42" s="332"/>
      <c r="S42" s="341"/>
    </row>
    <row r="43" spans="1:20" s="333" customFormat="1" ht="24" customHeight="1" x14ac:dyDescent="0.7">
      <c r="A43" s="126">
        <v>0</v>
      </c>
      <c r="B43" s="127">
        <v>0</v>
      </c>
      <c r="C43" s="117"/>
      <c r="D43" s="355">
        <f t="shared" si="7"/>
        <v>5.8873814575743519E-2</v>
      </c>
      <c r="E43" s="347">
        <v>0</v>
      </c>
      <c r="F43" s="123">
        <f t="shared" si="8"/>
        <v>500</v>
      </c>
      <c r="G43" s="130">
        <v>500</v>
      </c>
      <c r="H43" s="131">
        <v>0</v>
      </c>
      <c r="I43" s="126">
        <f t="shared" si="10"/>
        <v>359</v>
      </c>
      <c r="J43" s="130">
        <v>339</v>
      </c>
      <c r="K43" s="127">
        <v>20</v>
      </c>
      <c r="L43" s="880" t="s">
        <v>111</v>
      </c>
      <c r="M43" s="881"/>
      <c r="N43" s="902"/>
      <c r="O43" s="132">
        <v>35</v>
      </c>
      <c r="P43" s="332"/>
      <c r="S43" s="341"/>
    </row>
    <row r="44" spans="1:20" s="333" customFormat="1" ht="24" customHeight="1" x14ac:dyDescent="0.7">
      <c r="A44" s="126">
        <v>0</v>
      </c>
      <c r="B44" s="127">
        <v>0</v>
      </c>
      <c r="C44" s="117"/>
      <c r="D44" s="355">
        <f t="shared" si="7"/>
        <v>0</v>
      </c>
      <c r="E44" s="347">
        <v>0</v>
      </c>
      <c r="F44" s="123">
        <f t="shared" si="8"/>
        <v>0</v>
      </c>
      <c r="G44" s="130">
        <v>0</v>
      </c>
      <c r="H44" s="131">
        <v>0</v>
      </c>
      <c r="I44" s="126">
        <f t="shared" si="10"/>
        <v>0</v>
      </c>
      <c r="J44" s="130">
        <v>0</v>
      </c>
      <c r="K44" s="127">
        <v>0</v>
      </c>
      <c r="L44" s="880" t="s">
        <v>63</v>
      </c>
      <c r="M44" s="881"/>
      <c r="N44" s="902"/>
      <c r="O44" s="132">
        <v>36</v>
      </c>
      <c r="P44" s="332"/>
      <c r="S44" s="341"/>
    </row>
    <row r="45" spans="1:20" s="333" customFormat="1" ht="24" customHeight="1" x14ac:dyDescent="0.7">
      <c r="A45" s="126">
        <v>64181</v>
      </c>
      <c r="B45" s="127">
        <v>176531</v>
      </c>
      <c r="C45" s="117"/>
      <c r="D45" s="355">
        <f>(F45/$F$6)*100</f>
        <v>31.203121725144062</v>
      </c>
      <c r="E45" s="347">
        <f t="shared" si="9"/>
        <v>95.752539242843952</v>
      </c>
      <c r="F45" s="123">
        <f t="shared" si="8"/>
        <v>265000</v>
      </c>
      <c r="G45" s="130">
        <v>60000</v>
      </c>
      <c r="H45" s="131">
        <v>205000</v>
      </c>
      <c r="I45" s="126">
        <f t="shared" si="10"/>
        <v>135375</v>
      </c>
      <c r="J45" s="130">
        <v>3150</v>
      </c>
      <c r="K45" s="127">
        <v>132225</v>
      </c>
      <c r="L45" s="880" t="s">
        <v>104</v>
      </c>
      <c r="M45" s="881"/>
      <c r="N45" s="902" t="s">
        <v>215</v>
      </c>
      <c r="O45" s="132">
        <v>37</v>
      </c>
      <c r="P45" s="332"/>
      <c r="S45" s="341"/>
    </row>
    <row r="46" spans="1:20" s="333" customFormat="1" ht="24" customHeight="1" x14ac:dyDescent="0.7">
      <c r="A46" s="126">
        <v>357</v>
      </c>
      <c r="B46" s="127">
        <v>0</v>
      </c>
      <c r="C46" s="117"/>
      <c r="D46" s="355">
        <f t="shared" si="7"/>
        <v>4.7099051660594808</v>
      </c>
      <c r="E46" s="347">
        <f t="shared" si="9"/>
        <v>200.63885757234124</v>
      </c>
      <c r="F46" s="123">
        <f t="shared" si="8"/>
        <v>40000</v>
      </c>
      <c r="G46" s="130">
        <v>15000</v>
      </c>
      <c r="H46" s="131">
        <v>25000</v>
      </c>
      <c r="I46" s="126">
        <f t="shared" si="10"/>
        <v>13305</v>
      </c>
      <c r="J46" s="130">
        <v>0</v>
      </c>
      <c r="K46" s="127">
        <v>13305</v>
      </c>
      <c r="L46" s="880" t="s">
        <v>118</v>
      </c>
      <c r="M46" s="881"/>
      <c r="N46" s="902"/>
      <c r="O46" s="132">
        <v>38</v>
      </c>
      <c r="P46" s="332"/>
      <c r="S46" s="341"/>
    </row>
    <row r="47" spans="1:20" s="333" customFormat="1" ht="24" customHeight="1" x14ac:dyDescent="0.7">
      <c r="A47" s="126">
        <v>153302</v>
      </c>
      <c r="B47" s="127">
        <v>9419</v>
      </c>
      <c r="C47" s="117"/>
      <c r="D47" s="355">
        <f t="shared" si="7"/>
        <v>19.627352303261375</v>
      </c>
      <c r="E47" s="347">
        <f t="shared" si="9"/>
        <v>76.61393712717603</v>
      </c>
      <c r="F47" s="123">
        <f t="shared" si="8"/>
        <v>166690</v>
      </c>
      <c r="G47" s="130">
        <v>86056</v>
      </c>
      <c r="H47" s="131">
        <v>80634</v>
      </c>
      <c r="I47" s="126">
        <f t="shared" si="10"/>
        <v>94381</v>
      </c>
      <c r="J47" s="130">
        <v>46875</v>
      </c>
      <c r="K47" s="127">
        <v>47506</v>
      </c>
      <c r="L47" s="880" t="s">
        <v>105</v>
      </c>
      <c r="M47" s="881"/>
      <c r="N47" s="902"/>
      <c r="O47" s="132">
        <v>39</v>
      </c>
      <c r="P47" s="332"/>
      <c r="S47" s="341"/>
    </row>
    <row r="48" spans="1:20" s="333" customFormat="1" ht="24" customHeight="1" x14ac:dyDescent="0.7">
      <c r="A48" s="126">
        <v>0</v>
      </c>
      <c r="B48" s="127">
        <v>0</v>
      </c>
      <c r="C48" s="117"/>
      <c r="D48" s="355">
        <f t="shared" si="7"/>
        <v>0</v>
      </c>
      <c r="E48" s="347">
        <v>0</v>
      </c>
      <c r="F48" s="123">
        <f t="shared" si="8"/>
        <v>0</v>
      </c>
      <c r="G48" s="130">
        <v>0</v>
      </c>
      <c r="H48" s="131">
        <v>0</v>
      </c>
      <c r="I48" s="126">
        <f t="shared" si="10"/>
        <v>0</v>
      </c>
      <c r="J48" s="130">
        <v>0</v>
      </c>
      <c r="K48" s="127">
        <v>0</v>
      </c>
      <c r="L48" s="906" t="s">
        <v>40</v>
      </c>
      <c r="M48" s="907"/>
      <c r="N48" s="902"/>
      <c r="O48" s="132">
        <v>40</v>
      </c>
      <c r="P48" s="332"/>
      <c r="S48" s="341"/>
    </row>
    <row r="49" spans="1:19" s="333" customFormat="1" ht="24" customHeight="1" x14ac:dyDescent="0.7">
      <c r="A49" s="126">
        <v>0</v>
      </c>
      <c r="B49" s="127">
        <v>0</v>
      </c>
      <c r="C49" s="117"/>
      <c r="D49" s="355">
        <f t="shared" si="7"/>
        <v>0</v>
      </c>
      <c r="E49" s="347">
        <v>0</v>
      </c>
      <c r="F49" s="123">
        <f t="shared" si="8"/>
        <v>0</v>
      </c>
      <c r="G49" s="130">
        <v>0</v>
      </c>
      <c r="H49" s="131">
        <v>0</v>
      </c>
      <c r="I49" s="126">
        <f t="shared" si="10"/>
        <v>0</v>
      </c>
      <c r="J49" s="130">
        <v>0</v>
      </c>
      <c r="K49" s="127">
        <v>0</v>
      </c>
      <c r="L49" s="608" t="s">
        <v>115</v>
      </c>
      <c r="M49" s="902" t="s">
        <v>272</v>
      </c>
      <c r="N49" s="902" t="s">
        <v>259</v>
      </c>
      <c r="O49" s="132">
        <v>41</v>
      </c>
      <c r="P49" s="332"/>
      <c r="S49" s="341"/>
    </row>
    <row r="50" spans="1:19" s="333" customFormat="1" ht="24" customHeight="1" x14ac:dyDescent="0.7">
      <c r="A50" s="126">
        <v>0</v>
      </c>
      <c r="B50" s="127">
        <v>0</v>
      </c>
      <c r="C50" s="117"/>
      <c r="D50" s="355">
        <f t="shared" si="7"/>
        <v>0</v>
      </c>
      <c r="E50" s="347">
        <v>0</v>
      </c>
      <c r="F50" s="123">
        <f t="shared" si="8"/>
        <v>0</v>
      </c>
      <c r="G50" s="130">
        <v>0</v>
      </c>
      <c r="H50" s="131">
        <v>0</v>
      </c>
      <c r="I50" s="126">
        <f t="shared" si="10"/>
        <v>0</v>
      </c>
      <c r="J50" s="130">
        <v>0</v>
      </c>
      <c r="K50" s="127">
        <v>0</v>
      </c>
      <c r="L50" s="608" t="s">
        <v>112</v>
      </c>
      <c r="M50" s="902"/>
      <c r="N50" s="902"/>
      <c r="O50" s="132">
        <v>42</v>
      </c>
      <c r="P50" s="332"/>
      <c r="S50" s="341"/>
    </row>
    <row r="51" spans="1:19" s="333" customFormat="1" ht="24" customHeight="1" x14ac:dyDescent="0.7">
      <c r="A51" s="126">
        <v>0</v>
      </c>
      <c r="B51" s="127">
        <v>0</v>
      </c>
      <c r="C51" s="117"/>
      <c r="D51" s="355">
        <f t="shared" si="7"/>
        <v>0</v>
      </c>
      <c r="E51" s="347">
        <v>0</v>
      </c>
      <c r="F51" s="123">
        <f t="shared" si="8"/>
        <v>0</v>
      </c>
      <c r="G51" s="130">
        <v>0</v>
      </c>
      <c r="H51" s="131">
        <v>0</v>
      </c>
      <c r="I51" s="126">
        <f t="shared" si="10"/>
        <v>0</v>
      </c>
      <c r="J51" s="130">
        <v>0</v>
      </c>
      <c r="K51" s="127">
        <v>0</v>
      </c>
      <c r="L51" s="608" t="s">
        <v>113</v>
      </c>
      <c r="M51" s="902"/>
      <c r="N51" s="902"/>
      <c r="O51" s="132">
        <v>43</v>
      </c>
      <c r="P51" s="332"/>
      <c r="S51" s="341"/>
    </row>
    <row r="52" spans="1:19" s="333" customFormat="1" ht="24" customHeight="1" x14ac:dyDescent="0.7">
      <c r="A52" s="126">
        <v>0</v>
      </c>
      <c r="B52" s="127">
        <v>0</v>
      </c>
      <c r="C52" s="117"/>
      <c r="D52" s="355">
        <f t="shared" si="7"/>
        <v>0</v>
      </c>
      <c r="E52" s="347">
        <v>0</v>
      </c>
      <c r="F52" s="123">
        <f t="shared" si="8"/>
        <v>0</v>
      </c>
      <c r="G52" s="130">
        <v>0</v>
      </c>
      <c r="H52" s="131">
        <v>0</v>
      </c>
      <c r="I52" s="126">
        <f t="shared" si="10"/>
        <v>0</v>
      </c>
      <c r="J52" s="130">
        <v>0</v>
      </c>
      <c r="K52" s="127">
        <v>0</v>
      </c>
      <c r="L52" s="880" t="s">
        <v>114</v>
      </c>
      <c r="M52" s="881"/>
      <c r="N52" s="902" t="s">
        <v>91</v>
      </c>
      <c r="O52" s="132">
        <v>44</v>
      </c>
      <c r="P52" s="332"/>
      <c r="S52" s="341"/>
    </row>
    <row r="53" spans="1:19" s="333" customFormat="1" ht="24" customHeight="1" x14ac:dyDescent="0.7">
      <c r="A53" s="126">
        <v>0</v>
      </c>
      <c r="B53" s="127">
        <v>0</v>
      </c>
      <c r="C53" s="117"/>
      <c r="D53" s="355">
        <f t="shared" si="7"/>
        <v>14.011967869026956</v>
      </c>
      <c r="E53" s="347">
        <f t="shared" si="9"/>
        <v>44.834049389627936</v>
      </c>
      <c r="F53" s="123">
        <f t="shared" si="8"/>
        <v>119000</v>
      </c>
      <c r="G53" s="130">
        <v>0</v>
      </c>
      <c r="H53" s="131">
        <v>119000</v>
      </c>
      <c r="I53" s="126">
        <f t="shared" si="10"/>
        <v>82163</v>
      </c>
      <c r="J53" s="130">
        <v>9815</v>
      </c>
      <c r="K53" s="127">
        <v>72348</v>
      </c>
      <c r="L53" s="905" t="s">
        <v>212</v>
      </c>
      <c r="M53" s="881"/>
      <c r="N53" s="902"/>
      <c r="O53" s="132">
        <v>45</v>
      </c>
      <c r="P53" s="332"/>
      <c r="S53" s="341"/>
    </row>
    <row r="54" spans="1:19" s="333" customFormat="1" ht="24" customHeight="1" x14ac:dyDescent="0.7">
      <c r="A54" s="126">
        <v>0</v>
      </c>
      <c r="B54" s="127">
        <v>0</v>
      </c>
      <c r="C54" s="117"/>
      <c r="D54" s="355">
        <f t="shared" si="7"/>
        <v>0</v>
      </c>
      <c r="E54" s="347">
        <v>0</v>
      </c>
      <c r="F54" s="123">
        <f t="shared" si="8"/>
        <v>0</v>
      </c>
      <c r="G54" s="130">
        <v>0</v>
      </c>
      <c r="H54" s="131">
        <v>0</v>
      </c>
      <c r="I54" s="126">
        <f t="shared" si="10"/>
        <v>0</v>
      </c>
      <c r="J54" s="130">
        <v>0</v>
      </c>
      <c r="K54" s="127">
        <v>0</v>
      </c>
      <c r="L54" s="880" t="s">
        <v>213</v>
      </c>
      <c r="M54" s="881"/>
      <c r="N54" s="902"/>
      <c r="O54" s="132">
        <v>46</v>
      </c>
      <c r="P54" s="332"/>
      <c r="S54" s="341"/>
    </row>
    <row r="55" spans="1:19" s="333" customFormat="1" ht="24" customHeight="1" x14ac:dyDescent="0.7">
      <c r="A55" s="126">
        <v>0</v>
      </c>
      <c r="B55" s="127">
        <v>0</v>
      </c>
      <c r="C55" s="117"/>
      <c r="D55" s="355">
        <f t="shared" si="7"/>
        <v>0</v>
      </c>
      <c r="E55" s="347">
        <v>0</v>
      </c>
      <c r="F55" s="123">
        <f t="shared" si="8"/>
        <v>0</v>
      </c>
      <c r="G55" s="130">
        <v>0</v>
      </c>
      <c r="H55" s="131">
        <v>0</v>
      </c>
      <c r="I55" s="126">
        <f t="shared" si="10"/>
        <v>0</v>
      </c>
      <c r="J55" s="130">
        <v>0</v>
      </c>
      <c r="K55" s="127">
        <v>0</v>
      </c>
      <c r="L55" s="880" t="s">
        <v>61</v>
      </c>
      <c r="M55" s="881"/>
      <c r="N55" s="902"/>
      <c r="O55" s="132">
        <v>47</v>
      </c>
      <c r="P55" s="332"/>
      <c r="S55" s="341"/>
    </row>
    <row r="56" spans="1:19" s="333" customFormat="1" ht="24" customHeight="1" x14ac:dyDescent="0.7">
      <c r="A56" s="126">
        <v>0</v>
      </c>
      <c r="B56" s="127">
        <v>0</v>
      </c>
      <c r="C56" s="117"/>
      <c r="D56" s="355">
        <f t="shared" si="7"/>
        <v>0</v>
      </c>
      <c r="E56" s="347">
        <v>0</v>
      </c>
      <c r="F56" s="123">
        <f t="shared" si="8"/>
        <v>0</v>
      </c>
      <c r="G56" s="130">
        <v>0</v>
      </c>
      <c r="H56" s="131">
        <v>0</v>
      </c>
      <c r="I56" s="126">
        <f t="shared" si="10"/>
        <v>0</v>
      </c>
      <c r="J56" s="130">
        <v>0</v>
      </c>
      <c r="K56" s="122">
        <v>0</v>
      </c>
      <c r="L56" s="880" t="s">
        <v>40</v>
      </c>
      <c r="M56" s="881"/>
      <c r="N56" s="902"/>
      <c r="O56" s="132">
        <v>48</v>
      </c>
      <c r="P56" s="332"/>
      <c r="S56" s="341"/>
    </row>
    <row r="57" spans="1:19" s="333" customFormat="1" ht="24" customHeight="1" x14ac:dyDescent="0.7">
      <c r="A57" s="126">
        <v>0</v>
      </c>
      <c r="B57" s="127">
        <v>0</v>
      </c>
      <c r="C57" s="117"/>
      <c r="D57" s="355">
        <f t="shared" si="7"/>
        <v>5.2986433118169165</v>
      </c>
      <c r="E57" s="347">
        <f t="shared" si="9"/>
        <v>35.301722841937519</v>
      </c>
      <c r="F57" s="123">
        <f t="shared" si="8"/>
        <v>45000</v>
      </c>
      <c r="G57" s="130">
        <v>5000</v>
      </c>
      <c r="H57" s="131">
        <v>40000</v>
      </c>
      <c r="I57" s="126">
        <f t="shared" si="10"/>
        <v>33259</v>
      </c>
      <c r="J57" s="130">
        <v>0</v>
      </c>
      <c r="K57" s="127">
        <v>33259</v>
      </c>
      <c r="L57" s="880" t="s">
        <v>92</v>
      </c>
      <c r="M57" s="881"/>
      <c r="N57" s="881"/>
      <c r="O57" s="132">
        <v>49</v>
      </c>
      <c r="P57" s="332"/>
      <c r="S57" s="341"/>
    </row>
    <row r="58" spans="1:19" s="333" customFormat="1" ht="24" customHeight="1" x14ac:dyDescent="0.7">
      <c r="A58" s="126">
        <v>0</v>
      </c>
      <c r="B58" s="127">
        <v>0</v>
      </c>
      <c r="C58" s="117"/>
      <c r="D58" s="355">
        <f t="shared" si="7"/>
        <v>1.9457795717283233</v>
      </c>
      <c r="E58" s="347">
        <f t="shared" si="9"/>
        <v>10.520331728196897</v>
      </c>
      <c r="F58" s="123">
        <f t="shared" si="8"/>
        <v>16525</v>
      </c>
      <c r="G58" s="130">
        <v>4500</v>
      </c>
      <c r="H58" s="131">
        <v>12025</v>
      </c>
      <c r="I58" s="126">
        <f t="shared" si="10"/>
        <v>14952</v>
      </c>
      <c r="J58" s="130">
        <v>1702</v>
      </c>
      <c r="K58" s="127">
        <v>13250</v>
      </c>
      <c r="L58" s="880" t="s">
        <v>119</v>
      </c>
      <c r="M58" s="881"/>
      <c r="N58" s="901" t="s">
        <v>62</v>
      </c>
      <c r="O58" s="132">
        <v>50</v>
      </c>
      <c r="P58" s="332"/>
      <c r="S58" s="341"/>
    </row>
    <row r="59" spans="1:19" s="333" customFormat="1" ht="24" customHeight="1" x14ac:dyDescent="0.7">
      <c r="A59" s="126">
        <v>0</v>
      </c>
      <c r="B59" s="127">
        <v>0</v>
      </c>
      <c r="C59" s="117"/>
      <c r="D59" s="355">
        <f t="shared" si="7"/>
        <v>0</v>
      </c>
      <c r="E59" s="347">
        <v>0</v>
      </c>
      <c r="F59" s="123">
        <f t="shared" si="8"/>
        <v>0</v>
      </c>
      <c r="G59" s="130">
        <v>0</v>
      </c>
      <c r="H59" s="131">
        <v>0</v>
      </c>
      <c r="I59" s="126">
        <f t="shared" si="10"/>
        <v>0</v>
      </c>
      <c r="J59" s="130">
        <v>0</v>
      </c>
      <c r="K59" s="127">
        <v>0</v>
      </c>
      <c r="L59" s="880" t="s">
        <v>63</v>
      </c>
      <c r="M59" s="881"/>
      <c r="N59" s="901"/>
      <c r="O59" s="132">
        <v>51</v>
      </c>
      <c r="P59" s="332"/>
      <c r="S59" s="341"/>
    </row>
    <row r="60" spans="1:19" s="333" customFormat="1" ht="24" customHeight="1" x14ac:dyDescent="0.7">
      <c r="A60" s="126">
        <v>0</v>
      </c>
      <c r="B60" s="127">
        <v>0</v>
      </c>
      <c r="C60" s="117"/>
      <c r="D60" s="355">
        <f t="shared" si="7"/>
        <v>5.4752647555441472E-2</v>
      </c>
      <c r="E60" s="347">
        <f t="shared" si="9"/>
        <v>30.252100840336134</v>
      </c>
      <c r="F60" s="123">
        <f t="shared" si="8"/>
        <v>465</v>
      </c>
      <c r="G60" s="130">
        <v>0</v>
      </c>
      <c r="H60" s="131">
        <v>465</v>
      </c>
      <c r="I60" s="126">
        <f t="shared" si="10"/>
        <v>357</v>
      </c>
      <c r="J60" s="130">
        <v>0</v>
      </c>
      <c r="K60" s="127">
        <v>357</v>
      </c>
      <c r="L60" s="880" t="s">
        <v>103</v>
      </c>
      <c r="M60" s="881"/>
      <c r="N60" s="902" t="s">
        <v>138</v>
      </c>
      <c r="O60" s="132">
        <v>52</v>
      </c>
      <c r="P60" s="332"/>
      <c r="S60" s="341"/>
    </row>
    <row r="61" spans="1:19" s="333" customFormat="1" ht="24" customHeight="1" x14ac:dyDescent="0.7">
      <c r="A61" s="126">
        <v>0</v>
      </c>
      <c r="B61" s="127">
        <v>0</v>
      </c>
      <c r="C61" s="117"/>
      <c r="D61" s="355">
        <f t="shared" si="7"/>
        <v>7.653595894846657E-2</v>
      </c>
      <c r="E61" s="347">
        <f t="shared" si="9"/>
        <v>16.906474820143885</v>
      </c>
      <c r="F61" s="123">
        <f t="shared" si="8"/>
        <v>650</v>
      </c>
      <c r="G61" s="130">
        <v>0</v>
      </c>
      <c r="H61" s="131">
        <v>650</v>
      </c>
      <c r="I61" s="126">
        <f t="shared" si="10"/>
        <v>556</v>
      </c>
      <c r="J61" s="130">
        <v>0</v>
      </c>
      <c r="K61" s="127">
        <v>556</v>
      </c>
      <c r="L61" s="880" t="s">
        <v>57</v>
      </c>
      <c r="M61" s="881"/>
      <c r="N61" s="902"/>
      <c r="O61" s="132">
        <v>53</v>
      </c>
      <c r="P61" s="332"/>
      <c r="S61" s="341"/>
    </row>
    <row r="62" spans="1:19" s="333" customFormat="1" ht="24" customHeight="1" x14ac:dyDescent="0.7">
      <c r="A62" s="126">
        <v>0</v>
      </c>
      <c r="B62" s="127">
        <v>0</v>
      </c>
      <c r="C62" s="117"/>
      <c r="D62" s="355">
        <f t="shared" si="7"/>
        <v>0.55930123846956348</v>
      </c>
      <c r="E62" s="347">
        <f t="shared" si="9"/>
        <v>30.03011223651793</v>
      </c>
      <c r="F62" s="123">
        <f t="shared" si="8"/>
        <v>4750</v>
      </c>
      <c r="G62" s="130">
        <v>0</v>
      </c>
      <c r="H62" s="131">
        <v>4750</v>
      </c>
      <c r="I62" s="126">
        <f t="shared" si="10"/>
        <v>3653</v>
      </c>
      <c r="J62" s="130">
        <v>0</v>
      </c>
      <c r="K62" s="127">
        <v>3653</v>
      </c>
      <c r="L62" s="880" t="s">
        <v>58</v>
      </c>
      <c r="M62" s="881"/>
      <c r="N62" s="902"/>
      <c r="O62" s="132">
        <v>54</v>
      </c>
      <c r="P62" s="332"/>
      <c r="S62" s="341"/>
    </row>
    <row r="63" spans="1:19" s="333" customFormat="1" ht="24" customHeight="1" x14ac:dyDescent="0.7">
      <c r="A63" s="126">
        <v>0</v>
      </c>
      <c r="B63" s="127">
        <v>0</v>
      </c>
      <c r="C63" s="117"/>
      <c r="D63" s="355">
        <f t="shared" si="7"/>
        <v>0.39445455765748155</v>
      </c>
      <c r="E63" s="347">
        <f t="shared" si="9"/>
        <v>21.818181818181817</v>
      </c>
      <c r="F63" s="123">
        <f t="shared" si="8"/>
        <v>3350</v>
      </c>
      <c r="G63" s="130">
        <v>0</v>
      </c>
      <c r="H63" s="131">
        <v>3350</v>
      </c>
      <c r="I63" s="126">
        <f t="shared" si="10"/>
        <v>2750</v>
      </c>
      <c r="J63" s="130">
        <v>0</v>
      </c>
      <c r="K63" s="127">
        <v>2750</v>
      </c>
      <c r="L63" s="880" t="s">
        <v>59</v>
      </c>
      <c r="M63" s="881"/>
      <c r="N63" s="902"/>
      <c r="O63" s="132">
        <v>55</v>
      </c>
      <c r="P63" s="332"/>
      <c r="S63" s="341"/>
    </row>
    <row r="64" spans="1:19" s="333" customFormat="1" ht="24" customHeight="1" thickBot="1" x14ac:dyDescent="0.75">
      <c r="A64" s="142">
        <v>0</v>
      </c>
      <c r="B64" s="134">
        <v>0</v>
      </c>
      <c r="C64" s="117"/>
      <c r="D64" s="356">
        <f t="shared" si="7"/>
        <v>2.3549525830297405E-2</v>
      </c>
      <c r="E64" s="348">
        <f t="shared" si="9"/>
        <v>14.285714285714285</v>
      </c>
      <c r="F64" s="123">
        <f t="shared" si="8"/>
        <v>200</v>
      </c>
      <c r="G64" s="133">
        <v>0</v>
      </c>
      <c r="H64" s="131">
        <v>200</v>
      </c>
      <c r="I64" s="115">
        <f t="shared" si="10"/>
        <v>175</v>
      </c>
      <c r="J64" s="119">
        <v>0</v>
      </c>
      <c r="K64" s="143">
        <v>175</v>
      </c>
      <c r="L64" s="903" t="s">
        <v>60</v>
      </c>
      <c r="M64" s="904"/>
      <c r="N64" s="893"/>
      <c r="O64" s="350">
        <v>56</v>
      </c>
      <c r="P64" s="332"/>
      <c r="S64" s="341"/>
    </row>
    <row r="65" spans="1:19" s="333" customFormat="1" ht="24" customHeight="1" thickBot="1" x14ac:dyDescent="0.25">
      <c r="A65" s="136">
        <v>0</v>
      </c>
      <c r="B65" s="137">
        <v>0</v>
      </c>
      <c r="C65" s="117"/>
      <c r="D65" s="378">
        <f t="shared" si="7"/>
        <v>0</v>
      </c>
      <c r="E65" s="377">
        <v>0</v>
      </c>
      <c r="F65" s="138">
        <f t="shared" si="8"/>
        <v>0</v>
      </c>
      <c r="G65" s="141">
        <v>0</v>
      </c>
      <c r="H65" s="141">
        <v>0</v>
      </c>
      <c r="I65" s="429">
        <f t="shared" si="10"/>
        <v>0</v>
      </c>
      <c r="J65" s="351">
        <v>0</v>
      </c>
      <c r="K65" s="352">
        <v>0</v>
      </c>
      <c r="L65" s="889" t="s">
        <v>360</v>
      </c>
      <c r="M65" s="890"/>
      <c r="N65" s="890"/>
      <c r="O65" s="891"/>
      <c r="P65" s="609"/>
      <c r="S65" s="341"/>
    </row>
    <row r="66" spans="1:19" s="333" customFormat="1" ht="24" customHeight="1" thickBot="1" x14ac:dyDescent="0.25">
      <c r="A66" s="144">
        <v>0</v>
      </c>
      <c r="B66" s="145">
        <v>0</v>
      </c>
      <c r="C66" s="117"/>
      <c r="D66" s="379">
        <f t="shared" si="7"/>
        <v>0</v>
      </c>
      <c r="E66" s="353">
        <v>0</v>
      </c>
      <c r="F66" s="146">
        <f t="shared" si="8"/>
        <v>0</v>
      </c>
      <c r="G66" s="147">
        <v>0</v>
      </c>
      <c r="H66" s="592">
        <v>0</v>
      </c>
      <c r="I66" s="144">
        <f t="shared" si="10"/>
        <v>0</v>
      </c>
      <c r="J66" s="147">
        <v>0</v>
      </c>
      <c r="K66" s="145">
        <v>0</v>
      </c>
      <c r="L66" s="896" t="s">
        <v>236</v>
      </c>
      <c r="M66" s="897"/>
      <c r="N66" s="897"/>
      <c r="O66" s="148">
        <v>57</v>
      </c>
      <c r="P66" s="609"/>
      <c r="S66" s="341"/>
    </row>
    <row r="67" spans="1:19" s="333" customFormat="1" ht="24" customHeight="1" thickBot="1" x14ac:dyDescent="0.25">
      <c r="A67" s="136">
        <v>0</v>
      </c>
      <c r="B67" s="137">
        <v>0</v>
      </c>
      <c r="C67" s="117"/>
      <c r="D67" s="378">
        <f t="shared" si="7"/>
        <v>3.574229282893389</v>
      </c>
      <c r="E67" s="377">
        <f t="shared" si="9"/>
        <v>1.4504862805387522</v>
      </c>
      <c r="F67" s="136">
        <f>H67+G67</f>
        <v>30355</v>
      </c>
      <c r="G67" s="139">
        <f>SUM(G68:G83)</f>
        <v>5090</v>
      </c>
      <c r="H67" s="140">
        <f>SUM(H68:H83)</f>
        <v>25265</v>
      </c>
      <c r="I67" s="138">
        <f>K67+J67</f>
        <v>29921</v>
      </c>
      <c r="J67" s="139">
        <f>SUM(J68:J83)</f>
        <v>4404</v>
      </c>
      <c r="K67" s="140">
        <f>SUM(K68:K83)</f>
        <v>25517</v>
      </c>
      <c r="L67" s="889" t="s">
        <v>361</v>
      </c>
      <c r="M67" s="890"/>
      <c r="N67" s="890"/>
      <c r="O67" s="891"/>
      <c r="P67" s="609"/>
      <c r="S67" s="341"/>
    </row>
    <row r="68" spans="1:19" s="333" customFormat="1" ht="24" customHeight="1" x14ac:dyDescent="0.7">
      <c r="A68" s="121">
        <v>0</v>
      </c>
      <c r="B68" s="122">
        <v>0</v>
      </c>
      <c r="C68" s="117"/>
      <c r="D68" s="380">
        <f t="shared" si="7"/>
        <v>0</v>
      </c>
      <c r="E68" s="384">
        <v>0</v>
      </c>
      <c r="F68" s="123">
        <f t="shared" ref="F68:F83" si="11">H68+G68</f>
        <v>0</v>
      </c>
      <c r="G68" s="124">
        <v>0</v>
      </c>
      <c r="H68" s="125">
        <v>0</v>
      </c>
      <c r="I68" s="121">
        <f t="shared" si="10"/>
        <v>0</v>
      </c>
      <c r="J68" s="124">
        <v>0</v>
      </c>
      <c r="K68" s="122">
        <v>0</v>
      </c>
      <c r="L68" s="898" t="s">
        <v>217</v>
      </c>
      <c r="M68" s="899"/>
      <c r="N68" s="900"/>
      <c r="O68" s="349">
        <v>58</v>
      </c>
      <c r="P68" s="332"/>
      <c r="S68" s="341"/>
    </row>
    <row r="69" spans="1:19" s="333" customFormat="1" ht="24" customHeight="1" x14ac:dyDescent="0.7">
      <c r="A69" s="126">
        <v>0</v>
      </c>
      <c r="B69" s="127">
        <v>0</v>
      </c>
      <c r="C69" s="117"/>
      <c r="D69" s="381">
        <f t="shared" si="7"/>
        <v>7.3003530073921963E-2</v>
      </c>
      <c r="E69" s="355">
        <f t="shared" si="9"/>
        <v>20.857699805068226</v>
      </c>
      <c r="F69" s="123">
        <f t="shared" si="11"/>
        <v>620</v>
      </c>
      <c r="G69" s="130">
        <v>620</v>
      </c>
      <c r="H69" s="131">
        <v>0</v>
      </c>
      <c r="I69" s="121">
        <f t="shared" si="10"/>
        <v>513</v>
      </c>
      <c r="J69" s="130">
        <v>513</v>
      </c>
      <c r="K69" s="127">
        <v>0</v>
      </c>
      <c r="L69" s="882" t="s">
        <v>218</v>
      </c>
      <c r="M69" s="892"/>
      <c r="N69" s="883"/>
      <c r="O69" s="132">
        <v>59</v>
      </c>
      <c r="P69" s="332"/>
      <c r="S69" s="341"/>
    </row>
    <row r="70" spans="1:19" s="333" customFormat="1" ht="24" customHeight="1" x14ac:dyDescent="0.7">
      <c r="A70" s="126">
        <v>0</v>
      </c>
      <c r="B70" s="127">
        <v>0</v>
      </c>
      <c r="C70" s="117"/>
      <c r="D70" s="381">
        <f t="shared" si="7"/>
        <v>0.90665674446645028</v>
      </c>
      <c r="E70" s="355">
        <f t="shared" si="9"/>
        <v>7.5268817204301079</v>
      </c>
      <c r="F70" s="123">
        <f t="shared" si="11"/>
        <v>7700</v>
      </c>
      <c r="G70" s="130">
        <v>1520</v>
      </c>
      <c r="H70" s="131">
        <v>6180</v>
      </c>
      <c r="I70" s="121">
        <f t="shared" si="10"/>
        <v>7161</v>
      </c>
      <c r="J70" s="130">
        <v>1349</v>
      </c>
      <c r="K70" s="127">
        <v>5812</v>
      </c>
      <c r="L70" s="882" t="s">
        <v>220</v>
      </c>
      <c r="M70" s="892"/>
      <c r="N70" s="883"/>
      <c r="O70" s="132">
        <v>60</v>
      </c>
      <c r="P70" s="332"/>
      <c r="S70" s="341"/>
    </row>
    <row r="71" spans="1:19" s="333" customFormat="1" ht="28.5" customHeight="1" x14ac:dyDescent="0.7">
      <c r="A71" s="126">
        <v>0</v>
      </c>
      <c r="B71" s="127">
        <v>0</v>
      </c>
      <c r="C71" s="117"/>
      <c r="D71" s="381">
        <f t="shared" si="7"/>
        <v>0.4868864465413989</v>
      </c>
      <c r="E71" s="355">
        <f t="shared" si="9"/>
        <v>20.063879210220673</v>
      </c>
      <c r="F71" s="123">
        <f t="shared" si="11"/>
        <v>4135</v>
      </c>
      <c r="G71" s="130">
        <v>0</v>
      </c>
      <c r="H71" s="131">
        <v>4135</v>
      </c>
      <c r="I71" s="121">
        <f t="shared" si="10"/>
        <v>3444</v>
      </c>
      <c r="J71" s="130">
        <v>0</v>
      </c>
      <c r="K71" s="127">
        <v>3444</v>
      </c>
      <c r="L71" s="865" t="s">
        <v>219</v>
      </c>
      <c r="M71" s="866"/>
      <c r="N71" s="867"/>
      <c r="O71" s="132">
        <v>61</v>
      </c>
      <c r="P71" s="332"/>
      <c r="S71" s="341"/>
    </row>
    <row r="72" spans="1:19" s="333" customFormat="1" ht="24" customHeight="1" x14ac:dyDescent="0.7">
      <c r="A72" s="126">
        <v>0</v>
      </c>
      <c r="B72" s="127">
        <v>0</v>
      </c>
      <c r="C72" s="117"/>
      <c r="D72" s="381">
        <f t="shared" si="7"/>
        <v>1.7544396743571569</v>
      </c>
      <c r="E72" s="355">
        <f t="shared" si="9"/>
        <v>4.9000281610813854</v>
      </c>
      <c r="F72" s="123">
        <f t="shared" si="11"/>
        <v>14900</v>
      </c>
      <c r="G72" s="130">
        <v>2950</v>
      </c>
      <c r="H72" s="131">
        <v>11950</v>
      </c>
      <c r="I72" s="121">
        <f t="shared" si="10"/>
        <v>14204</v>
      </c>
      <c r="J72" s="130">
        <v>2542</v>
      </c>
      <c r="K72" s="127">
        <v>11662</v>
      </c>
      <c r="L72" s="882" t="s">
        <v>261</v>
      </c>
      <c r="M72" s="892"/>
      <c r="N72" s="883"/>
      <c r="O72" s="132">
        <v>62</v>
      </c>
      <c r="P72" s="332"/>
      <c r="S72" s="341"/>
    </row>
    <row r="73" spans="1:19" s="333" customFormat="1" ht="24" customHeight="1" x14ac:dyDescent="0.7">
      <c r="A73" s="126">
        <v>0</v>
      </c>
      <c r="B73" s="127">
        <v>0</v>
      </c>
      <c r="C73" s="117"/>
      <c r="D73" s="381">
        <f t="shared" si="7"/>
        <v>0</v>
      </c>
      <c r="E73" s="355">
        <v>0</v>
      </c>
      <c r="F73" s="123">
        <f t="shared" si="11"/>
        <v>0</v>
      </c>
      <c r="G73" s="130">
        <v>0</v>
      </c>
      <c r="H73" s="131">
        <v>0</v>
      </c>
      <c r="I73" s="121">
        <f t="shared" si="10"/>
        <v>0</v>
      </c>
      <c r="J73" s="130">
        <v>0</v>
      </c>
      <c r="K73" s="127">
        <v>0</v>
      </c>
      <c r="L73" s="882" t="s">
        <v>262</v>
      </c>
      <c r="M73" s="883"/>
      <c r="N73" s="893" t="s">
        <v>259</v>
      </c>
      <c r="O73" s="132">
        <v>63</v>
      </c>
      <c r="P73" s="332"/>
      <c r="S73" s="341"/>
    </row>
    <row r="74" spans="1:19" s="333" customFormat="1" ht="24" customHeight="1" x14ac:dyDescent="0.7">
      <c r="A74" s="126">
        <v>0</v>
      </c>
      <c r="B74" s="127">
        <v>0</v>
      </c>
      <c r="C74" s="117"/>
      <c r="D74" s="381">
        <f t="shared" si="7"/>
        <v>0</v>
      </c>
      <c r="E74" s="355">
        <v>0</v>
      </c>
      <c r="F74" s="123">
        <f t="shared" si="11"/>
        <v>0</v>
      </c>
      <c r="G74" s="130">
        <v>0</v>
      </c>
      <c r="H74" s="131">
        <v>0</v>
      </c>
      <c r="I74" s="121">
        <f t="shared" si="10"/>
        <v>0</v>
      </c>
      <c r="J74" s="130">
        <v>0</v>
      </c>
      <c r="K74" s="127">
        <v>0</v>
      </c>
      <c r="L74" s="882" t="s">
        <v>263</v>
      </c>
      <c r="M74" s="883"/>
      <c r="N74" s="894"/>
      <c r="O74" s="132">
        <v>64</v>
      </c>
      <c r="P74" s="332"/>
      <c r="S74" s="341"/>
    </row>
    <row r="75" spans="1:19" s="333" customFormat="1" ht="26.25" customHeight="1" x14ac:dyDescent="0.7">
      <c r="A75" s="126">
        <v>0</v>
      </c>
      <c r="B75" s="127">
        <v>0</v>
      </c>
      <c r="C75" s="117"/>
      <c r="D75" s="381">
        <f t="shared" si="7"/>
        <v>0</v>
      </c>
      <c r="E75" s="355">
        <v>0</v>
      </c>
      <c r="F75" s="123">
        <f t="shared" si="11"/>
        <v>0</v>
      </c>
      <c r="G75" s="130">
        <v>0</v>
      </c>
      <c r="H75" s="131">
        <v>0</v>
      </c>
      <c r="I75" s="121">
        <f t="shared" si="10"/>
        <v>0</v>
      </c>
      <c r="J75" s="130">
        <v>0</v>
      </c>
      <c r="K75" s="127">
        <v>0</v>
      </c>
      <c r="L75" s="882" t="s">
        <v>264</v>
      </c>
      <c r="M75" s="883"/>
      <c r="N75" s="894"/>
      <c r="O75" s="132">
        <v>65</v>
      </c>
      <c r="P75" s="332"/>
      <c r="S75" s="341"/>
    </row>
    <row r="76" spans="1:19" s="333" customFormat="1" ht="26.25" customHeight="1" x14ac:dyDescent="0.7">
      <c r="A76" s="126">
        <v>0</v>
      </c>
      <c r="B76" s="127">
        <v>0</v>
      </c>
      <c r="C76" s="117"/>
      <c r="D76" s="381">
        <f t="shared" si="7"/>
        <v>0</v>
      </c>
      <c r="E76" s="355">
        <v>0</v>
      </c>
      <c r="F76" s="123">
        <f t="shared" si="11"/>
        <v>0</v>
      </c>
      <c r="G76" s="130">
        <v>0</v>
      </c>
      <c r="H76" s="131">
        <v>0</v>
      </c>
      <c r="I76" s="121">
        <f t="shared" si="10"/>
        <v>0</v>
      </c>
      <c r="J76" s="130">
        <v>0</v>
      </c>
      <c r="K76" s="127">
        <v>0</v>
      </c>
      <c r="L76" s="882" t="s">
        <v>67</v>
      </c>
      <c r="M76" s="883"/>
      <c r="N76" s="894"/>
      <c r="O76" s="132">
        <v>66</v>
      </c>
      <c r="P76" s="332"/>
      <c r="S76" s="341"/>
    </row>
    <row r="77" spans="1:19" s="333" customFormat="1" ht="26.25" customHeight="1" x14ac:dyDescent="0.7">
      <c r="A77" s="126">
        <v>0</v>
      </c>
      <c r="B77" s="127">
        <v>0</v>
      </c>
      <c r="C77" s="117"/>
      <c r="D77" s="381">
        <f t="shared" si="7"/>
        <v>0</v>
      </c>
      <c r="E77" s="355">
        <v>0</v>
      </c>
      <c r="F77" s="123">
        <f t="shared" si="11"/>
        <v>0</v>
      </c>
      <c r="G77" s="130">
        <v>0</v>
      </c>
      <c r="H77" s="131">
        <v>0</v>
      </c>
      <c r="I77" s="121">
        <f t="shared" si="10"/>
        <v>0</v>
      </c>
      <c r="J77" s="130">
        <v>0</v>
      </c>
      <c r="K77" s="127">
        <v>0</v>
      </c>
      <c r="L77" s="882" t="s">
        <v>31</v>
      </c>
      <c r="M77" s="883"/>
      <c r="N77" s="894"/>
      <c r="O77" s="132">
        <v>67</v>
      </c>
      <c r="P77" s="332"/>
      <c r="S77" s="341"/>
    </row>
    <row r="78" spans="1:19" s="333" customFormat="1" ht="26.25" customHeight="1" x14ac:dyDescent="0.7">
      <c r="A78" s="126">
        <v>0</v>
      </c>
      <c r="B78" s="127">
        <v>0</v>
      </c>
      <c r="C78" s="117"/>
      <c r="D78" s="381">
        <f t="shared" si="7"/>
        <v>0</v>
      </c>
      <c r="E78" s="355">
        <v>0</v>
      </c>
      <c r="F78" s="123">
        <f t="shared" si="11"/>
        <v>0</v>
      </c>
      <c r="G78" s="130">
        <v>0</v>
      </c>
      <c r="H78" s="131">
        <v>0</v>
      </c>
      <c r="I78" s="121">
        <f t="shared" si="10"/>
        <v>0</v>
      </c>
      <c r="J78" s="130">
        <v>0</v>
      </c>
      <c r="K78" s="127">
        <v>0</v>
      </c>
      <c r="L78" s="882" t="s">
        <v>277</v>
      </c>
      <c r="M78" s="883"/>
      <c r="N78" s="894"/>
      <c r="O78" s="132">
        <v>68</v>
      </c>
      <c r="P78" s="332"/>
      <c r="S78" s="341"/>
    </row>
    <row r="79" spans="1:19" s="333" customFormat="1" ht="26.25" customHeight="1" x14ac:dyDescent="0.7">
      <c r="A79" s="126">
        <v>0</v>
      </c>
      <c r="B79" s="127">
        <v>0</v>
      </c>
      <c r="C79" s="117"/>
      <c r="D79" s="381">
        <f t="shared" si="7"/>
        <v>0</v>
      </c>
      <c r="E79" s="355">
        <v>0</v>
      </c>
      <c r="F79" s="123">
        <f t="shared" si="11"/>
        <v>0</v>
      </c>
      <c r="G79" s="124">
        <v>0</v>
      </c>
      <c r="H79" s="125">
        <v>0</v>
      </c>
      <c r="I79" s="121">
        <f t="shared" si="10"/>
        <v>0</v>
      </c>
      <c r="J79" s="130">
        <v>0</v>
      </c>
      <c r="K79" s="127">
        <v>0</v>
      </c>
      <c r="L79" s="882" t="s">
        <v>279</v>
      </c>
      <c r="M79" s="883"/>
      <c r="N79" s="894"/>
      <c r="O79" s="132"/>
      <c r="P79" s="332"/>
      <c r="S79" s="341"/>
    </row>
    <row r="80" spans="1:19" s="333" customFormat="1" ht="26.25" customHeight="1" x14ac:dyDescent="0.7">
      <c r="A80" s="126">
        <v>0</v>
      </c>
      <c r="B80" s="127">
        <v>0</v>
      </c>
      <c r="C80" s="117"/>
      <c r="D80" s="381">
        <f t="shared" si="7"/>
        <v>0</v>
      </c>
      <c r="E80" s="355">
        <v>0</v>
      </c>
      <c r="F80" s="123">
        <f t="shared" si="11"/>
        <v>0</v>
      </c>
      <c r="G80" s="124">
        <v>0</v>
      </c>
      <c r="H80" s="125">
        <v>0</v>
      </c>
      <c r="I80" s="121">
        <f t="shared" si="10"/>
        <v>0</v>
      </c>
      <c r="J80" s="130">
        <v>0</v>
      </c>
      <c r="K80" s="127">
        <v>0</v>
      </c>
      <c r="L80" s="882" t="s">
        <v>40</v>
      </c>
      <c r="M80" s="883"/>
      <c r="N80" s="895"/>
      <c r="O80" s="132"/>
      <c r="P80" s="332"/>
      <c r="S80" s="341"/>
    </row>
    <row r="81" spans="1:19" s="333" customFormat="1" ht="24" customHeight="1" x14ac:dyDescent="0.7">
      <c r="A81" s="126">
        <v>0</v>
      </c>
      <c r="B81" s="127">
        <v>0</v>
      </c>
      <c r="C81" s="117"/>
      <c r="D81" s="381">
        <f t="shared" si="7"/>
        <v>0</v>
      </c>
      <c r="E81" s="355">
        <v>0</v>
      </c>
      <c r="F81" s="123">
        <f t="shared" si="11"/>
        <v>0</v>
      </c>
      <c r="G81" s="130">
        <v>0</v>
      </c>
      <c r="H81" s="131">
        <v>0</v>
      </c>
      <c r="I81" s="121">
        <f t="shared" si="10"/>
        <v>0</v>
      </c>
      <c r="J81" s="130">
        <v>0</v>
      </c>
      <c r="K81" s="127">
        <v>0</v>
      </c>
      <c r="L81" s="884" t="s">
        <v>100</v>
      </c>
      <c r="M81" s="885"/>
      <c r="N81" s="886" t="s">
        <v>16</v>
      </c>
      <c r="O81" s="132">
        <v>69</v>
      </c>
      <c r="P81" s="332"/>
      <c r="S81" s="341"/>
    </row>
    <row r="82" spans="1:19" s="333" customFormat="1" ht="24" customHeight="1" x14ac:dyDescent="0.7">
      <c r="A82" s="126">
        <v>0</v>
      </c>
      <c r="B82" s="127">
        <v>0</v>
      </c>
      <c r="C82" s="117"/>
      <c r="D82" s="381">
        <f t="shared" si="7"/>
        <v>0.35324288745446109</v>
      </c>
      <c r="E82" s="355">
        <f t="shared" ref="E82" si="12">((F82-I82)/I82)*100</f>
        <v>-34.768427919112845</v>
      </c>
      <c r="F82" s="123">
        <f t="shared" si="11"/>
        <v>3000</v>
      </c>
      <c r="G82" s="130">
        <v>0</v>
      </c>
      <c r="H82" s="131">
        <v>3000</v>
      </c>
      <c r="I82" s="121">
        <f t="shared" si="10"/>
        <v>4599</v>
      </c>
      <c r="J82" s="130">
        <v>0</v>
      </c>
      <c r="K82" s="127">
        <v>4599</v>
      </c>
      <c r="L82" s="884" t="s">
        <v>101</v>
      </c>
      <c r="M82" s="885"/>
      <c r="N82" s="886"/>
      <c r="O82" s="132">
        <v>70</v>
      </c>
      <c r="P82" s="332"/>
      <c r="S82" s="341"/>
    </row>
    <row r="83" spans="1:19" s="333" customFormat="1" ht="24" customHeight="1" thickBot="1" x14ac:dyDescent="0.75">
      <c r="A83" s="142">
        <v>0</v>
      </c>
      <c r="B83" s="134">
        <v>0</v>
      </c>
      <c r="C83" s="117"/>
      <c r="D83" s="382">
        <f t="shared" si="7"/>
        <v>0</v>
      </c>
      <c r="E83" s="356">
        <v>0</v>
      </c>
      <c r="F83" s="123">
        <f t="shared" si="11"/>
        <v>0</v>
      </c>
      <c r="G83" s="133">
        <v>0</v>
      </c>
      <c r="H83" s="135">
        <v>0</v>
      </c>
      <c r="I83" s="115">
        <f t="shared" si="10"/>
        <v>0</v>
      </c>
      <c r="J83" s="119">
        <v>0</v>
      </c>
      <c r="K83" s="143">
        <v>0</v>
      </c>
      <c r="L83" s="887" t="s">
        <v>271</v>
      </c>
      <c r="M83" s="888"/>
      <c r="N83" s="888"/>
      <c r="O83" s="350">
        <v>71</v>
      </c>
      <c r="P83" s="332"/>
      <c r="S83" s="341"/>
    </row>
    <row r="84" spans="1:19" s="333" customFormat="1" ht="24" customHeight="1" thickBot="1" x14ac:dyDescent="0.25">
      <c r="A84" s="136">
        <f>SUM(A85:A91)</f>
        <v>0</v>
      </c>
      <c r="B84" s="137">
        <f>SUM(B85:B91)</f>
        <v>0</v>
      </c>
      <c r="C84" s="117"/>
      <c r="D84" s="378">
        <f>(F84/$F$6)*100</f>
        <v>2.8848169142114322</v>
      </c>
      <c r="E84" s="385">
        <f t="shared" ref="E84:E90" si="13">((F84-I84)/I84)*100</f>
        <v>9.7621074324627042</v>
      </c>
      <c r="F84" s="138">
        <f t="shared" ref="F84:K84" si="14">SUM(F85:F91)</f>
        <v>24500</v>
      </c>
      <c r="G84" s="139">
        <f t="shared" si="14"/>
        <v>9000</v>
      </c>
      <c r="H84" s="140">
        <f t="shared" si="14"/>
        <v>15500</v>
      </c>
      <c r="I84" s="138">
        <f t="shared" si="14"/>
        <v>22321</v>
      </c>
      <c r="J84" s="141">
        <f t="shared" si="14"/>
        <v>9780</v>
      </c>
      <c r="K84" s="141">
        <f t="shared" si="14"/>
        <v>12541</v>
      </c>
      <c r="L84" s="889" t="s">
        <v>362</v>
      </c>
      <c r="M84" s="890"/>
      <c r="N84" s="890"/>
      <c r="O84" s="891"/>
      <c r="P84" s="609"/>
      <c r="S84" s="341"/>
    </row>
    <row r="85" spans="1:19" s="333" customFormat="1" ht="24" customHeight="1" x14ac:dyDescent="0.7">
      <c r="A85" s="121">
        <v>0</v>
      </c>
      <c r="B85" s="122">
        <v>0</v>
      </c>
      <c r="C85" s="117"/>
      <c r="D85" s="380">
        <f t="shared" ref="D85:D91" si="15">(F85/$F$6)*100</f>
        <v>0</v>
      </c>
      <c r="E85" s="384">
        <v>0</v>
      </c>
      <c r="F85" s="128">
        <f t="shared" ref="F85:F91" si="16">H85+G85</f>
        <v>0</v>
      </c>
      <c r="G85" s="124">
        <v>0</v>
      </c>
      <c r="H85" s="122">
        <v>0</v>
      </c>
      <c r="I85" s="123">
        <f t="shared" si="10"/>
        <v>0</v>
      </c>
      <c r="J85" s="124">
        <v>0</v>
      </c>
      <c r="K85" s="125">
        <v>0</v>
      </c>
      <c r="L85" s="878" t="s">
        <v>265</v>
      </c>
      <c r="M85" s="879"/>
      <c r="N85" s="879"/>
      <c r="O85" s="349">
        <v>72</v>
      </c>
      <c r="P85" s="332"/>
      <c r="S85" s="341"/>
    </row>
    <row r="86" spans="1:19" s="333" customFormat="1" ht="24" customHeight="1" x14ac:dyDescent="0.7">
      <c r="A86" s="126">
        <v>0</v>
      </c>
      <c r="B86" s="127">
        <v>0</v>
      </c>
      <c r="C86" s="117"/>
      <c r="D86" s="381">
        <f t="shared" si="15"/>
        <v>0</v>
      </c>
      <c r="E86" s="355">
        <v>0</v>
      </c>
      <c r="F86" s="128">
        <f t="shared" si="16"/>
        <v>0</v>
      </c>
      <c r="G86" s="130">
        <v>0</v>
      </c>
      <c r="H86" s="127">
        <v>0</v>
      </c>
      <c r="I86" s="123">
        <f t="shared" si="10"/>
        <v>0</v>
      </c>
      <c r="J86" s="130">
        <v>0</v>
      </c>
      <c r="K86" s="131">
        <v>0</v>
      </c>
      <c r="L86" s="880" t="s">
        <v>266</v>
      </c>
      <c r="M86" s="881"/>
      <c r="N86" s="881"/>
      <c r="O86" s="132">
        <v>73</v>
      </c>
      <c r="P86" s="332"/>
      <c r="S86" s="341"/>
    </row>
    <row r="87" spans="1:19" s="333" customFormat="1" ht="24" customHeight="1" x14ac:dyDescent="0.7">
      <c r="A87" s="126">
        <v>0</v>
      </c>
      <c r="B87" s="127">
        <v>0</v>
      </c>
      <c r="C87" s="117"/>
      <c r="D87" s="381">
        <f t="shared" si="15"/>
        <v>0.82423340406040912</v>
      </c>
      <c r="E87" s="355">
        <f t="shared" si="13"/>
        <v>22.014990413107896</v>
      </c>
      <c r="F87" s="128">
        <f t="shared" si="16"/>
        <v>7000</v>
      </c>
      <c r="G87" s="130">
        <v>0</v>
      </c>
      <c r="H87" s="127">
        <v>7000</v>
      </c>
      <c r="I87" s="123">
        <f t="shared" ref="I87:I91" si="17">K87+J87</f>
        <v>5737</v>
      </c>
      <c r="J87" s="130">
        <v>0</v>
      </c>
      <c r="K87" s="131">
        <v>5737</v>
      </c>
      <c r="L87" s="880" t="s">
        <v>66</v>
      </c>
      <c r="M87" s="881"/>
      <c r="N87" s="881" t="s">
        <v>64</v>
      </c>
      <c r="O87" s="132">
        <v>74</v>
      </c>
      <c r="P87" s="332"/>
      <c r="S87" s="341"/>
    </row>
    <row r="88" spans="1:19" s="333" customFormat="1" ht="24" customHeight="1" x14ac:dyDescent="0.7">
      <c r="A88" s="126">
        <v>0</v>
      </c>
      <c r="B88" s="127">
        <v>0</v>
      </c>
      <c r="C88" s="117"/>
      <c r="D88" s="381">
        <f t="shared" si="15"/>
        <v>0</v>
      </c>
      <c r="E88" s="355">
        <v>0</v>
      </c>
      <c r="F88" s="128">
        <f t="shared" si="16"/>
        <v>0</v>
      </c>
      <c r="G88" s="130">
        <v>0</v>
      </c>
      <c r="H88" s="127">
        <v>0</v>
      </c>
      <c r="I88" s="123">
        <f t="shared" si="17"/>
        <v>0</v>
      </c>
      <c r="J88" s="130">
        <v>0</v>
      </c>
      <c r="K88" s="131">
        <v>0</v>
      </c>
      <c r="L88" s="880" t="s">
        <v>65</v>
      </c>
      <c r="M88" s="881"/>
      <c r="N88" s="881"/>
      <c r="O88" s="132">
        <v>75</v>
      </c>
      <c r="P88" s="332"/>
      <c r="S88" s="341"/>
    </row>
    <row r="89" spans="1:19" s="333" customFormat="1" ht="24" customHeight="1" x14ac:dyDescent="0.7">
      <c r="A89" s="126">
        <v>0</v>
      </c>
      <c r="B89" s="127">
        <v>0</v>
      </c>
      <c r="C89" s="117"/>
      <c r="D89" s="381">
        <f t="shared" si="15"/>
        <v>0.41211670203020456</v>
      </c>
      <c r="E89" s="355">
        <v>0</v>
      </c>
      <c r="F89" s="128">
        <f t="shared" si="16"/>
        <v>3500</v>
      </c>
      <c r="G89" s="130">
        <v>3500</v>
      </c>
      <c r="H89" s="127">
        <v>0</v>
      </c>
      <c r="I89" s="123">
        <f t="shared" si="17"/>
        <v>2726</v>
      </c>
      <c r="J89" s="130">
        <v>2098</v>
      </c>
      <c r="K89" s="131">
        <v>628</v>
      </c>
      <c r="L89" s="880" t="s">
        <v>137</v>
      </c>
      <c r="M89" s="881"/>
      <c r="N89" s="881"/>
      <c r="O89" s="132">
        <v>76</v>
      </c>
      <c r="P89" s="332"/>
      <c r="S89" s="341"/>
    </row>
    <row r="90" spans="1:19" s="333" customFormat="1" ht="27" x14ac:dyDescent="0.2">
      <c r="A90" s="126">
        <v>0</v>
      </c>
      <c r="B90" s="127">
        <v>0</v>
      </c>
      <c r="C90" s="117"/>
      <c r="D90" s="381">
        <f t="shared" si="15"/>
        <v>1.6484668081208182</v>
      </c>
      <c r="E90" s="355">
        <f t="shared" si="13"/>
        <v>1.024678885842113</v>
      </c>
      <c r="F90" s="128">
        <f t="shared" si="16"/>
        <v>14000</v>
      </c>
      <c r="G90" s="133">
        <v>5500</v>
      </c>
      <c r="H90" s="134">
        <v>8500</v>
      </c>
      <c r="I90" s="123">
        <f t="shared" si="17"/>
        <v>13858</v>
      </c>
      <c r="J90" s="133">
        <v>7682</v>
      </c>
      <c r="K90" s="135">
        <v>6176</v>
      </c>
      <c r="L90" s="865" t="s">
        <v>267</v>
      </c>
      <c r="M90" s="866"/>
      <c r="N90" s="867"/>
      <c r="O90" s="132">
        <v>77</v>
      </c>
      <c r="P90" s="151"/>
      <c r="S90" s="341"/>
    </row>
    <row r="91" spans="1:19" s="333" customFormat="1" ht="24" customHeight="1" thickBot="1" x14ac:dyDescent="0.75">
      <c r="A91" s="115">
        <v>0</v>
      </c>
      <c r="B91" s="143">
        <v>0</v>
      </c>
      <c r="C91" s="117"/>
      <c r="D91" s="383">
        <f t="shared" si="15"/>
        <v>0</v>
      </c>
      <c r="E91" s="386">
        <v>0</v>
      </c>
      <c r="F91" s="128">
        <f t="shared" si="16"/>
        <v>0</v>
      </c>
      <c r="G91" s="119">
        <v>0</v>
      </c>
      <c r="H91" s="143">
        <v>0</v>
      </c>
      <c r="I91" s="123">
        <f t="shared" si="17"/>
        <v>0</v>
      </c>
      <c r="J91" s="119">
        <v>0</v>
      </c>
      <c r="K91" s="120">
        <v>0</v>
      </c>
      <c r="L91" s="868" t="s">
        <v>63</v>
      </c>
      <c r="M91" s="869"/>
      <c r="N91" s="869"/>
      <c r="O91" s="132">
        <v>78</v>
      </c>
      <c r="P91" s="332"/>
      <c r="S91" s="341"/>
    </row>
    <row r="92" spans="1:19" s="333" customFormat="1" ht="42" customHeight="1" thickBot="1" x14ac:dyDescent="0.25">
      <c r="A92" s="870" t="s">
        <v>299</v>
      </c>
      <c r="B92" s="871"/>
      <c r="C92" s="871"/>
      <c r="D92" s="872"/>
      <c r="E92" s="872"/>
      <c r="F92" s="871"/>
      <c r="G92" s="871"/>
      <c r="H92" s="871"/>
      <c r="I92" s="871"/>
      <c r="J92" s="871"/>
      <c r="K92" s="871"/>
      <c r="L92" s="871"/>
      <c r="M92" s="871"/>
      <c r="N92" s="871"/>
      <c r="O92" s="873"/>
      <c r="P92" s="149"/>
      <c r="S92" s="341"/>
    </row>
    <row r="93" spans="1:19" s="333" customFormat="1" ht="42" customHeight="1" thickBot="1" x14ac:dyDescent="0.25">
      <c r="A93" s="874" t="s">
        <v>358</v>
      </c>
      <c r="B93" s="875"/>
      <c r="C93" s="875"/>
      <c r="D93" s="875"/>
      <c r="E93" s="875"/>
      <c r="F93" s="875"/>
      <c r="G93" s="875"/>
      <c r="H93" s="150"/>
      <c r="I93" s="150"/>
      <c r="J93" s="150"/>
      <c r="K93" s="150"/>
      <c r="L93" s="876" t="s">
        <v>335</v>
      </c>
      <c r="M93" s="876"/>
      <c r="N93" s="876"/>
      <c r="O93" s="877"/>
      <c r="P93" s="151"/>
      <c r="S93" s="334"/>
    </row>
    <row r="94" spans="1:19" s="333" customFormat="1" ht="24.95" customHeight="1" x14ac:dyDescent="0.7">
      <c r="A94" s="342"/>
      <c r="B94" s="342"/>
      <c r="C94" s="342"/>
      <c r="D94" s="343"/>
      <c r="E94" s="343"/>
      <c r="F94" s="344"/>
      <c r="G94" s="344"/>
      <c r="H94" s="344"/>
      <c r="I94" s="344"/>
      <c r="J94" s="344"/>
      <c r="K94" s="344"/>
      <c r="L94" s="152"/>
      <c r="M94" s="152"/>
      <c r="N94" s="152"/>
      <c r="O94" s="332"/>
      <c r="P94" s="332"/>
      <c r="S94" s="334"/>
    </row>
    <row r="95" spans="1:19" s="333" customFormat="1" ht="24.95" customHeight="1" x14ac:dyDescent="0.7">
      <c r="A95" s="342"/>
      <c r="B95" s="342"/>
      <c r="C95" s="342"/>
      <c r="D95" s="343"/>
      <c r="E95" s="343"/>
      <c r="F95" s="344"/>
      <c r="G95" s="344"/>
      <c r="H95" s="344"/>
      <c r="I95" s="344"/>
      <c r="J95" s="344"/>
      <c r="K95" s="344"/>
      <c r="L95" s="152"/>
      <c r="M95" s="152"/>
      <c r="N95" s="152"/>
      <c r="O95" s="332"/>
      <c r="P95" s="332"/>
      <c r="S95" s="334"/>
    </row>
    <row r="96" spans="1:19" s="333" customFormat="1" ht="24.95" customHeight="1" x14ac:dyDescent="0.7">
      <c r="A96" s="342"/>
      <c r="B96" s="342"/>
      <c r="C96" s="342"/>
      <c r="D96" s="343"/>
      <c r="E96" s="343"/>
      <c r="F96" s="344"/>
      <c r="G96" s="344"/>
      <c r="H96" s="344"/>
      <c r="I96" s="344"/>
      <c r="J96" s="344"/>
      <c r="K96" s="344"/>
      <c r="L96" s="152"/>
      <c r="M96" s="152"/>
      <c r="N96" s="152"/>
      <c r="O96" s="332"/>
      <c r="P96" s="332"/>
      <c r="S96" s="334"/>
    </row>
    <row r="97" spans="1:96" s="333" customFormat="1" ht="24.95" customHeight="1" x14ac:dyDescent="0.7">
      <c r="A97" s="342"/>
      <c r="B97" s="342"/>
      <c r="C97" s="342"/>
      <c r="D97" s="343"/>
      <c r="E97" s="343"/>
      <c r="F97" s="344"/>
      <c r="G97" s="344"/>
      <c r="H97" s="344"/>
      <c r="I97" s="344"/>
      <c r="J97" s="344"/>
      <c r="K97" s="344"/>
      <c r="L97" s="152"/>
      <c r="M97" s="152"/>
      <c r="N97" s="152"/>
      <c r="O97" s="332"/>
      <c r="P97" s="332"/>
      <c r="S97" s="334"/>
    </row>
    <row r="98" spans="1:96" s="332" customFormat="1" ht="24.95" customHeight="1" x14ac:dyDescent="0.7">
      <c r="A98" s="342"/>
      <c r="B98" s="342"/>
      <c r="C98" s="342"/>
      <c r="D98" s="343"/>
      <c r="E98" s="343"/>
      <c r="F98" s="344"/>
      <c r="G98" s="344"/>
      <c r="H98" s="344"/>
      <c r="I98" s="344"/>
      <c r="J98" s="344"/>
      <c r="K98" s="344"/>
      <c r="L98" s="152"/>
      <c r="M98" s="152"/>
      <c r="N98" s="152"/>
      <c r="Q98" s="333"/>
      <c r="R98" s="333"/>
      <c r="S98" s="334"/>
      <c r="T98" s="333"/>
      <c r="U98" s="333"/>
      <c r="V98" s="333"/>
      <c r="W98" s="333"/>
      <c r="X98" s="333"/>
      <c r="Y98" s="333"/>
      <c r="Z98" s="333"/>
      <c r="AA98" s="333"/>
      <c r="AB98" s="333"/>
      <c r="AC98" s="333"/>
      <c r="AD98" s="333"/>
      <c r="AE98" s="333"/>
      <c r="AF98" s="333"/>
      <c r="AG98" s="333"/>
      <c r="AH98" s="333"/>
      <c r="AI98" s="333"/>
      <c r="AJ98" s="333"/>
      <c r="AK98" s="333"/>
      <c r="AL98" s="333"/>
      <c r="AM98" s="333"/>
      <c r="AN98" s="333"/>
      <c r="AO98" s="333"/>
      <c r="AP98" s="333"/>
      <c r="AQ98" s="333"/>
      <c r="AR98" s="333"/>
      <c r="AS98" s="333"/>
      <c r="AT98" s="333"/>
      <c r="AU98" s="333"/>
      <c r="AV98" s="333"/>
      <c r="AW98" s="333"/>
      <c r="AX98" s="333"/>
      <c r="AY98" s="333"/>
      <c r="AZ98" s="333"/>
      <c r="BA98" s="333"/>
      <c r="BB98" s="333"/>
      <c r="BC98" s="333"/>
      <c r="BD98" s="333"/>
      <c r="BE98" s="333"/>
      <c r="BF98" s="333"/>
      <c r="BG98" s="333"/>
      <c r="BH98" s="333"/>
      <c r="BI98" s="333"/>
      <c r="BJ98" s="333"/>
      <c r="BK98" s="333"/>
      <c r="BL98" s="333"/>
      <c r="BM98" s="333"/>
      <c r="BN98" s="333"/>
      <c r="BO98" s="333"/>
      <c r="BP98" s="333"/>
      <c r="BQ98" s="333"/>
      <c r="BR98" s="333"/>
      <c r="BS98" s="333"/>
      <c r="BT98" s="333"/>
      <c r="BU98" s="333"/>
      <c r="BV98" s="333"/>
      <c r="BW98" s="333"/>
      <c r="BX98" s="333"/>
      <c r="BY98" s="333"/>
      <c r="BZ98" s="333"/>
      <c r="CA98" s="333"/>
      <c r="CB98" s="333"/>
      <c r="CC98" s="333"/>
      <c r="CD98" s="333"/>
      <c r="CE98" s="333"/>
      <c r="CF98" s="333"/>
      <c r="CG98" s="333"/>
      <c r="CH98" s="333"/>
      <c r="CI98" s="333"/>
      <c r="CJ98" s="333"/>
      <c r="CK98" s="333"/>
      <c r="CL98" s="333"/>
      <c r="CM98" s="333"/>
      <c r="CN98" s="333"/>
      <c r="CO98" s="333"/>
      <c r="CP98" s="333"/>
      <c r="CQ98" s="333"/>
      <c r="CR98" s="333"/>
    </row>
    <row r="99" spans="1:96" s="332" customFormat="1" ht="24.95" customHeight="1" x14ac:dyDescent="0.7">
      <c r="A99" s="342"/>
      <c r="B99" s="342"/>
      <c r="C99" s="342"/>
      <c r="D99" s="343"/>
      <c r="E99" s="343"/>
      <c r="F99" s="344"/>
      <c r="G99" s="344"/>
      <c r="H99" s="344"/>
      <c r="I99" s="344"/>
      <c r="J99" s="344"/>
      <c r="K99" s="344"/>
      <c r="L99" s="152"/>
      <c r="M99" s="152"/>
      <c r="N99" s="152"/>
      <c r="Q99" s="333"/>
      <c r="R99" s="333"/>
      <c r="S99" s="334"/>
      <c r="T99" s="333"/>
      <c r="U99" s="333"/>
      <c r="V99" s="333"/>
      <c r="W99" s="333"/>
      <c r="X99" s="333"/>
      <c r="Y99" s="333"/>
      <c r="Z99" s="333"/>
      <c r="AA99" s="333"/>
      <c r="AB99" s="333"/>
      <c r="AC99" s="333"/>
      <c r="AD99" s="333"/>
      <c r="AE99" s="333"/>
      <c r="AF99" s="333"/>
      <c r="AG99" s="333"/>
      <c r="AH99" s="333"/>
      <c r="AI99" s="333"/>
      <c r="AJ99" s="333"/>
      <c r="AK99" s="333"/>
      <c r="AL99" s="333"/>
      <c r="AM99" s="333"/>
      <c r="AN99" s="333"/>
      <c r="AO99" s="333"/>
      <c r="AP99" s="333"/>
      <c r="AQ99" s="333"/>
      <c r="AR99" s="333"/>
      <c r="AS99" s="333"/>
      <c r="AT99" s="333"/>
      <c r="AU99" s="333"/>
      <c r="AV99" s="333"/>
      <c r="AW99" s="333"/>
      <c r="AX99" s="333"/>
      <c r="AY99" s="333"/>
      <c r="AZ99" s="333"/>
      <c r="BA99" s="333"/>
      <c r="BB99" s="333"/>
      <c r="BC99" s="333"/>
      <c r="BD99" s="333"/>
      <c r="BE99" s="333"/>
      <c r="BF99" s="333"/>
      <c r="BG99" s="333"/>
      <c r="BH99" s="333"/>
      <c r="BI99" s="333"/>
      <c r="BJ99" s="333"/>
      <c r="BK99" s="333"/>
      <c r="BL99" s="333"/>
      <c r="BM99" s="333"/>
      <c r="BN99" s="333"/>
      <c r="BO99" s="333"/>
      <c r="BP99" s="333"/>
      <c r="BQ99" s="333"/>
      <c r="BR99" s="333"/>
      <c r="BS99" s="333"/>
      <c r="BT99" s="333"/>
      <c r="BU99" s="333"/>
      <c r="BV99" s="333"/>
      <c r="BW99" s="333"/>
      <c r="BX99" s="333"/>
      <c r="BY99" s="333"/>
      <c r="BZ99" s="333"/>
      <c r="CA99" s="333"/>
      <c r="CB99" s="333"/>
      <c r="CC99" s="333"/>
      <c r="CD99" s="333"/>
      <c r="CE99" s="333"/>
      <c r="CF99" s="333"/>
      <c r="CG99" s="333"/>
      <c r="CH99" s="333"/>
      <c r="CI99" s="333"/>
      <c r="CJ99" s="333"/>
      <c r="CK99" s="333"/>
      <c r="CL99" s="333"/>
      <c r="CM99" s="333"/>
      <c r="CN99" s="333"/>
      <c r="CO99" s="333"/>
      <c r="CP99" s="333"/>
      <c r="CQ99" s="333"/>
      <c r="CR99" s="333"/>
    </row>
    <row r="100" spans="1:96" s="332" customFormat="1" ht="24.95" customHeight="1" x14ac:dyDescent="0.7">
      <c r="A100" s="342"/>
      <c r="B100" s="342"/>
      <c r="C100" s="342"/>
      <c r="D100" s="343"/>
      <c r="E100" s="343"/>
      <c r="F100" s="344"/>
      <c r="G100" s="344"/>
      <c r="H100" s="344"/>
      <c r="I100" s="344"/>
      <c r="J100" s="344"/>
      <c r="K100" s="344"/>
      <c r="L100" s="152"/>
      <c r="M100" s="152"/>
      <c r="N100" s="152"/>
      <c r="Q100" s="333"/>
      <c r="R100" s="333"/>
      <c r="S100" s="334"/>
      <c r="T100" s="333"/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  <c r="AF100" s="333"/>
      <c r="AG100" s="333"/>
      <c r="AH100" s="333"/>
      <c r="AI100" s="333"/>
      <c r="AJ100" s="333"/>
      <c r="AK100" s="333"/>
      <c r="AL100" s="333"/>
      <c r="AM100" s="333"/>
      <c r="AN100" s="333"/>
      <c r="AO100" s="333"/>
      <c r="AP100" s="333"/>
      <c r="AQ100" s="333"/>
      <c r="AR100" s="333"/>
      <c r="AS100" s="333"/>
      <c r="AT100" s="333"/>
      <c r="AU100" s="333"/>
      <c r="AV100" s="333"/>
      <c r="AW100" s="333"/>
      <c r="AX100" s="333"/>
      <c r="AY100" s="333"/>
      <c r="AZ100" s="333"/>
      <c r="BA100" s="333"/>
      <c r="BB100" s="333"/>
      <c r="BC100" s="333"/>
      <c r="BD100" s="333"/>
      <c r="BE100" s="333"/>
      <c r="BF100" s="333"/>
      <c r="BG100" s="333"/>
      <c r="BH100" s="333"/>
      <c r="BI100" s="333"/>
      <c r="BJ100" s="333"/>
      <c r="BK100" s="333"/>
      <c r="BL100" s="333"/>
      <c r="BM100" s="333"/>
      <c r="BN100" s="333"/>
      <c r="BO100" s="333"/>
      <c r="BP100" s="333"/>
      <c r="BQ100" s="333"/>
      <c r="BR100" s="333"/>
      <c r="BS100" s="333"/>
      <c r="BT100" s="333"/>
      <c r="BU100" s="333"/>
      <c r="BV100" s="333"/>
      <c r="BW100" s="333"/>
      <c r="BX100" s="333"/>
      <c r="BY100" s="333"/>
      <c r="BZ100" s="333"/>
      <c r="CA100" s="333"/>
      <c r="CB100" s="333"/>
      <c r="CC100" s="333"/>
      <c r="CD100" s="333"/>
      <c r="CE100" s="333"/>
      <c r="CF100" s="333"/>
      <c r="CG100" s="333"/>
      <c r="CH100" s="333"/>
      <c r="CI100" s="333"/>
      <c r="CJ100" s="333"/>
      <c r="CK100" s="333"/>
      <c r="CL100" s="333"/>
      <c r="CM100" s="333"/>
      <c r="CN100" s="333"/>
      <c r="CO100" s="333"/>
      <c r="CP100" s="333"/>
      <c r="CQ100" s="333"/>
      <c r="CR100" s="333"/>
    </row>
    <row r="101" spans="1:96" s="332" customFormat="1" ht="24.95" customHeight="1" x14ac:dyDescent="0.7">
      <c r="A101" s="342"/>
      <c r="B101" s="342"/>
      <c r="C101" s="342"/>
      <c r="D101" s="343"/>
      <c r="E101" s="343"/>
      <c r="F101" s="344"/>
      <c r="G101" s="344"/>
      <c r="H101" s="344"/>
      <c r="I101" s="344"/>
      <c r="J101" s="344"/>
      <c r="K101" s="344"/>
      <c r="L101" s="152"/>
      <c r="M101" s="152"/>
      <c r="N101" s="152"/>
      <c r="Q101" s="333"/>
      <c r="R101" s="333"/>
      <c r="S101" s="334"/>
      <c r="T101" s="333"/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  <c r="AN101" s="333"/>
      <c r="AO101" s="333"/>
      <c r="AP101" s="333"/>
      <c r="AQ101" s="333"/>
      <c r="AR101" s="333"/>
      <c r="AS101" s="333"/>
      <c r="AT101" s="333"/>
      <c r="AU101" s="333"/>
      <c r="AV101" s="333"/>
      <c r="AW101" s="333"/>
      <c r="AX101" s="333"/>
      <c r="AY101" s="333"/>
      <c r="AZ101" s="333"/>
      <c r="BA101" s="333"/>
      <c r="BB101" s="333"/>
      <c r="BC101" s="333"/>
      <c r="BD101" s="333"/>
      <c r="BE101" s="333"/>
      <c r="BF101" s="333"/>
      <c r="BG101" s="333"/>
      <c r="BH101" s="333"/>
      <c r="BI101" s="333"/>
      <c r="BJ101" s="333"/>
      <c r="BK101" s="333"/>
      <c r="BL101" s="333"/>
      <c r="BM101" s="333"/>
      <c r="BN101" s="333"/>
      <c r="BO101" s="333"/>
      <c r="BP101" s="333"/>
      <c r="BQ101" s="333"/>
      <c r="BR101" s="333"/>
      <c r="BS101" s="333"/>
      <c r="BT101" s="333"/>
      <c r="BU101" s="333"/>
      <c r="BV101" s="333"/>
      <c r="BW101" s="333"/>
      <c r="BX101" s="333"/>
      <c r="BY101" s="333"/>
      <c r="BZ101" s="333"/>
      <c r="CA101" s="333"/>
      <c r="CB101" s="333"/>
      <c r="CC101" s="333"/>
      <c r="CD101" s="333"/>
      <c r="CE101" s="333"/>
      <c r="CF101" s="333"/>
      <c r="CG101" s="333"/>
      <c r="CH101" s="333"/>
      <c r="CI101" s="333"/>
      <c r="CJ101" s="333"/>
      <c r="CK101" s="333"/>
      <c r="CL101" s="333"/>
      <c r="CM101" s="333"/>
      <c r="CN101" s="333"/>
      <c r="CO101" s="333"/>
      <c r="CP101" s="333"/>
      <c r="CQ101" s="333"/>
      <c r="CR101" s="333"/>
    </row>
    <row r="102" spans="1:96" s="332" customFormat="1" ht="24.95" customHeight="1" x14ac:dyDescent="0.7">
      <c r="A102" s="342"/>
      <c r="B102" s="342"/>
      <c r="C102" s="342"/>
      <c r="D102" s="343"/>
      <c r="E102" s="343"/>
      <c r="F102" s="344"/>
      <c r="G102" s="344"/>
      <c r="H102" s="344"/>
      <c r="I102" s="344"/>
      <c r="J102" s="344"/>
      <c r="K102" s="344"/>
      <c r="L102" s="152"/>
      <c r="M102" s="152"/>
      <c r="N102" s="152"/>
      <c r="Q102" s="333"/>
      <c r="R102" s="333"/>
      <c r="S102" s="334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  <c r="AN102" s="333"/>
      <c r="AO102" s="333"/>
      <c r="AP102" s="333"/>
      <c r="AQ102" s="333"/>
      <c r="AR102" s="333"/>
      <c r="AS102" s="333"/>
      <c r="AT102" s="333"/>
      <c r="AU102" s="333"/>
      <c r="AV102" s="333"/>
      <c r="AW102" s="333"/>
      <c r="AX102" s="333"/>
      <c r="AY102" s="333"/>
      <c r="AZ102" s="333"/>
      <c r="BA102" s="333"/>
      <c r="BB102" s="333"/>
      <c r="BC102" s="333"/>
      <c r="BD102" s="333"/>
      <c r="BE102" s="333"/>
      <c r="BF102" s="333"/>
      <c r="BG102" s="333"/>
      <c r="BH102" s="333"/>
      <c r="BI102" s="333"/>
      <c r="BJ102" s="333"/>
      <c r="BK102" s="333"/>
      <c r="BL102" s="333"/>
      <c r="BM102" s="333"/>
      <c r="BN102" s="333"/>
      <c r="BO102" s="333"/>
      <c r="BP102" s="333"/>
      <c r="BQ102" s="333"/>
      <c r="BR102" s="333"/>
      <c r="BS102" s="333"/>
      <c r="BT102" s="333"/>
      <c r="BU102" s="333"/>
      <c r="BV102" s="333"/>
      <c r="BW102" s="333"/>
      <c r="BX102" s="333"/>
      <c r="BY102" s="333"/>
      <c r="BZ102" s="333"/>
      <c r="CA102" s="333"/>
      <c r="CB102" s="333"/>
      <c r="CC102" s="333"/>
      <c r="CD102" s="333"/>
      <c r="CE102" s="333"/>
      <c r="CF102" s="333"/>
      <c r="CG102" s="333"/>
      <c r="CH102" s="333"/>
      <c r="CI102" s="333"/>
      <c r="CJ102" s="333"/>
      <c r="CK102" s="333"/>
      <c r="CL102" s="333"/>
      <c r="CM102" s="333"/>
      <c r="CN102" s="333"/>
      <c r="CO102" s="333"/>
      <c r="CP102" s="333"/>
      <c r="CQ102" s="333"/>
      <c r="CR102" s="333"/>
    </row>
    <row r="103" spans="1:96" s="332" customFormat="1" ht="24.95" customHeight="1" x14ac:dyDescent="0.7">
      <c r="A103" s="342"/>
      <c r="B103" s="342"/>
      <c r="C103" s="342"/>
      <c r="D103" s="343"/>
      <c r="E103" s="343"/>
      <c r="F103" s="344"/>
      <c r="G103" s="344"/>
      <c r="H103" s="344"/>
      <c r="I103" s="344"/>
      <c r="J103" s="344"/>
      <c r="K103" s="344"/>
      <c r="L103" s="152"/>
      <c r="M103" s="152"/>
      <c r="N103" s="152"/>
      <c r="Q103" s="333"/>
      <c r="R103" s="333"/>
      <c r="S103" s="334"/>
      <c r="T103" s="333"/>
      <c r="U103" s="333"/>
      <c r="V103" s="333"/>
      <c r="W103" s="333"/>
      <c r="X103" s="333"/>
      <c r="Y103" s="333"/>
      <c r="Z103" s="333"/>
      <c r="AA103" s="333"/>
      <c r="AB103" s="333"/>
      <c r="AC103" s="333"/>
      <c r="AD103" s="333"/>
      <c r="AE103" s="333"/>
      <c r="AF103" s="333"/>
      <c r="AG103" s="333"/>
      <c r="AH103" s="333"/>
      <c r="AI103" s="333"/>
      <c r="AJ103" s="333"/>
      <c r="AK103" s="333"/>
      <c r="AL103" s="333"/>
      <c r="AM103" s="333"/>
      <c r="AN103" s="333"/>
      <c r="AO103" s="333"/>
      <c r="AP103" s="333"/>
      <c r="AQ103" s="333"/>
      <c r="AR103" s="333"/>
      <c r="AS103" s="333"/>
      <c r="AT103" s="333"/>
      <c r="AU103" s="333"/>
      <c r="AV103" s="333"/>
      <c r="AW103" s="333"/>
      <c r="AX103" s="333"/>
      <c r="AY103" s="333"/>
      <c r="AZ103" s="333"/>
      <c r="BA103" s="333"/>
      <c r="BB103" s="333"/>
      <c r="BC103" s="333"/>
      <c r="BD103" s="333"/>
      <c r="BE103" s="333"/>
      <c r="BF103" s="333"/>
      <c r="BG103" s="333"/>
      <c r="BH103" s="333"/>
      <c r="BI103" s="333"/>
      <c r="BJ103" s="333"/>
      <c r="BK103" s="333"/>
      <c r="BL103" s="333"/>
      <c r="BM103" s="333"/>
      <c r="BN103" s="333"/>
      <c r="BO103" s="333"/>
      <c r="BP103" s="333"/>
      <c r="BQ103" s="333"/>
      <c r="BR103" s="333"/>
      <c r="BS103" s="333"/>
      <c r="BT103" s="333"/>
      <c r="BU103" s="333"/>
      <c r="BV103" s="333"/>
      <c r="BW103" s="333"/>
      <c r="BX103" s="333"/>
      <c r="BY103" s="333"/>
      <c r="BZ103" s="333"/>
      <c r="CA103" s="333"/>
      <c r="CB103" s="333"/>
      <c r="CC103" s="333"/>
      <c r="CD103" s="333"/>
      <c r="CE103" s="333"/>
      <c r="CF103" s="333"/>
      <c r="CG103" s="333"/>
      <c r="CH103" s="333"/>
      <c r="CI103" s="333"/>
      <c r="CJ103" s="333"/>
      <c r="CK103" s="333"/>
      <c r="CL103" s="333"/>
      <c r="CM103" s="333"/>
      <c r="CN103" s="333"/>
      <c r="CO103" s="333"/>
      <c r="CP103" s="333"/>
      <c r="CQ103" s="333"/>
      <c r="CR103" s="333"/>
    </row>
    <row r="104" spans="1:96" s="332" customFormat="1" ht="24.95" customHeight="1" x14ac:dyDescent="0.7">
      <c r="A104" s="342"/>
      <c r="B104" s="342"/>
      <c r="C104" s="342"/>
      <c r="D104" s="343"/>
      <c r="E104" s="343"/>
      <c r="F104" s="344"/>
      <c r="G104" s="344"/>
      <c r="H104" s="344"/>
      <c r="I104" s="344"/>
      <c r="J104" s="344"/>
      <c r="K104" s="344"/>
      <c r="L104" s="152"/>
      <c r="M104" s="152"/>
      <c r="N104" s="152"/>
      <c r="Q104" s="333"/>
      <c r="R104" s="333"/>
      <c r="S104" s="334"/>
      <c r="T104" s="333"/>
      <c r="U104" s="333"/>
      <c r="V104" s="333"/>
      <c r="W104" s="333"/>
      <c r="X104" s="333"/>
      <c r="Y104" s="333"/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333"/>
      <c r="AJ104" s="333"/>
      <c r="AK104" s="333"/>
      <c r="AL104" s="333"/>
      <c r="AM104" s="333"/>
      <c r="AN104" s="333"/>
      <c r="AO104" s="333"/>
      <c r="AP104" s="333"/>
      <c r="AQ104" s="333"/>
      <c r="AR104" s="333"/>
      <c r="AS104" s="333"/>
      <c r="AT104" s="333"/>
      <c r="AU104" s="333"/>
      <c r="AV104" s="333"/>
      <c r="AW104" s="333"/>
      <c r="AX104" s="333"/>
      <c r="AY104" s="333"/>
      <c r="AZ104" s="333"/>
      <c r="BA104" s="333"/>
      <c r="BB104" s="333"/>
      <c r="BC104" s="333"/>
      <c r="BD104" s="333"/>
      <c r="BE104" s="333"/>
      <c r="BF104" s="333"/>
      <c r="BG104" s="333"/>
      <c r="BH104" s="333"/>
      <c r="BI104" s="333"/>
      <c r="BJ104" s="333"/>
      <c r="BK104" s="333"/>
      <c r="BL104" s="333"/>
      <c r="BM104" s="333"/>
      <c r="BN104" s="333"/>
      <c r="BO104" s="333"/>
      <c r="BP104" s="333"/>
      <c r="BQ104" s="333"/>
      <c r="BR104" s="333"/>
      <c r="BS104" s="333"/>
      <c r="BT104" s="333"/>
      <c r="BU104" s="333"/>
      <c r="BV104" s="333"/>
      <c r="BW104" s="333"/>
      <c r="BX104" s="333"/>
      <c r="BY104" s="333"/>
      <c r="BZ104" s="333"/>
      <c r="CA104" s="333"/>
      <c r="CB104" s="333"/>
      <c r="CC104" s="333"/>
      <c r="CD104" s="333"/>
      <c r="CE104" s="333"/>
      <c r="CF104" s="333"/>
      <c r="CG104" s="333"/>
      <c r="CH104" s="333"/>
      <c r="CI104" s="333"/>
      <c r="CJ104" s="333"/>
      <c r="CK104" s="333"/>
      <c r="CL104" s="333"/>
      <c r="CM104" s="333"/>
      <c r="CN104" s="333"/>
      <c r="CO104" s="333"/>
      <c r="CP104" s="333"/>
      <c r="CQ104" s="333"/>
      <c r="CR104" s="333"/>
    </row>
    <row r="105" spans="1:96" s="332" customFormat="1" ht="24.95" customHeight="1" x14ac:dyDescent="0.7">
      <c r="A105" s="342"/>
      <c r="B105" s="342"/>
      <c r="C105" s="342"/>
      <c r="D105" s="343"/>
      <c r="E105" s="343"/>
      <c r="F105" s="344"/>
      <c r="G105" s="344"/>
      <c r="H105" s="344"/>
      <c r="I105" s="344"/>
      <c r="J105" s="344"/>
      <c r="K105" s="344"/>
      <c r="L105" s="152"/>
      <c r="M105" s="152"/>
      <c r="N105" s="152"/>
      <c r="Q105" s="333"/>
      <c r="R105" s="333"/>
      <c r="S105" s="334"/>
      <c r="T105" s="333"/>
      <c r="U105" s="333"/>
      <c r="V105" s="333"/>
      <c r="W105" s="333"/>
      <c r="X105" s="333"/>
      <c r="Y105" s="333"/>
      <c r="Z105" s="333"/>
      <c r="AA105" s="333"/>
      <c r="AB105" s="333"/>
      <c r="AC105" s="333"/>
      <c r="AD105" s="333"/>
      <c r="AE105" s="333"/>
      <c r="AF105" s="333"/>
      <c r="AG105" s="333"/>
      <c r="AH105" s="333"/>
      <c r="AI105" s="333"/>
      <c r="AJ105" s="333"/>
      <c r="AK105" s="333"/>
      <c r="AL105" s="333"/>
      <c r="AM105" s="333"/>
      <c r="AN105" s="333"/>
      <c r="AO105" s="333"/>
      <c r="AP105" s="333"/>
      <c r="AQ105" s="333"/>
      <c r="AR105" s="333"/>
      <c r="AS105" s="333"/>
      <c r="AT105" s="333"/>
      <c r="AU105" s="333"/>
      <c r="AV105" s="333"/>
      <c r="AW105" s="333"/>
      <c r="AX105" s="333"/>
      <c r="AY105" s="333"/>
      <c r="AZ105" s="333"/>
      <c r="BA105" s="333"/>
      <c r="BB105" s="333"/>
      <c r="BC105" s="333"/>
      <c r="BD105" s="333"/>
      <c r="BE105" s="333"/>
      <c r="BF105" s="333"/>
      <c r="BG105" s="333"/>
      <c r="BH105" s="333"/>
      <c r="BI105" s="333"/>
      <c r="BJ105" s="333"/>
      <c r="BK105" s="333"/>
      <c r="BL105" s="333"/>
      <c r="BM105" s="333"/>
      <c r="BN105" s="333"/>
      <c r="BO105" s="333"/>
      <c r="BP105" s="333"/>
      <c r="BQ105" s="333"/>
      <c r="BR105" s="333"/>
      <c r="BS105" s="333"/>
      <c r="BT105" s="333"/>
      <c r="BU105" s="333"/>
      <c r="BV105" s="333"/>
      <c r="BW105" s="333"/>
      <c r="BX105" s="333"/>
      <c r="BY105" s="333"/>
      <c r="BZ105" s="333"/>
      <c r="CA105" s="333"/>
      <c r="CB105" s="333"/>
      <c r="CC105" s="333"/>
      <c r="CD105" s="333"/>
      <c r="CE105" s="333"/>
      <c r="CF105" s="333"/>
      <c r="CG105" s="333"/>
      <c r="CH105" s="333"/>
      <c r="CI105" s="333"/>
      <c r="CJ105" s="333"/>
      <c r="CK105" s="333"/>
      <c r="CL105" s="333"/>
      <c r="CM105" s="333"/>
      <c r="CN105" s="333"/>
      <c r="CO105" s="333"/>
      <c r="CP105" s="333"/>
      <c r="CQ105" s="333"/>
      <c r="CR105" s="333"/>
    </row>
    <row r="106" spans="1:96" s="332" customFormat="1" ht="24.95" customHeight="1" x14ac:dyDescent="0.7">
      <c r="A106" s="342"/>
      <c r="B106" s="342"/>
      <c r="C106" s="342"/>
      <c r="D106" s="343"/>
      <c r="E106" s="343"/>
      <c r="F106" s="344"/>
      <c r="G106" s="344"/>
      <c r="H106" s="344"/>
      <c r="I106" s="344"/>
      <c r="J106" s="344"/>
      <c r="K106" s="344"/>
      <c r="L106" s="152"/>
      <c r="M106" s="152"/>
      <c r="N106" s="152"/>
      <c r="Q106" s="333"/>
      <c r="R106" s="333"/>
      <c r="S106" s="334"/>
      <c r="T106" s="333"/>
      <c r="U106" s="333"/>
      <c r="V106" s="333"/>
      <c r="W106" s="333"/>
      <c r="X106" s="333"/>
      <c r="Y106" s="333"/>
      <c r="Z106" s="333"/>
      <c r="AA106" s="333"/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  <c r="AM106" s="333"/>
      <c r="AN106" s="333"/>
      <c r="AO106" s="333"/>
      <c r="AP106" s="333"/>
      <c r="AQ106" s="333"/>
      <c r="AR106" s="333"/>
      <c r="AS106" s="333"/>
      <c r="AT106" s="333"/>
      <c r="AU106" s="333"/>
      <c r="AV106" s="333"/>
      <c r="AW106" s="333"/>
      <c r="AX106" s="333"/>
      <c r="AY106" s="333"/>
      <c r="AZ106" s="333"/>
      <c r="BA106" s="333"/>
      <c r="BB106" s="333"/>
      <c r="BC106" s="333"/>
      <c r="BD106" s="333"/>
      <c r="BE106" s="333"/>
      <c r="BF106" s="333"/>
      <c r="BG106" s="333"/>
      <c r="BH106" s="333"/>
      <c r="BI106" s="333"/>
      <c r="BJ106" s="333"/>
      <c r="BK106" s="333"/>
      <c r="BL106" s="333"/>
      <c r="BM106" s="333"/>
      <c r="BN106" s="333"/>
      <c r="BO106" s="333"/>
      <c r="BP106" s="333"/>
      <c r="BQ106" s="333"/>
      <c r="BR106" s="333"/>
      <c r="BS106" s="333"/>
      <c r="BT106" s="333"/>
      <c r="BU106" s="333"/>
      <c r="BV106" s="333"/>
      <c r="BW106" s="333"/>
      <c r="BX106" s="333"/>
      <c r="BY106" s="333"/>
      <c r="BZ106" s="333"/>
      <c r="CA106" s="333"/>
      <c r="CB106" s="333"/>
      <c r="CC106" s="333"/>
      <c r="CD106" s="333"/>
      <c r="CE106" s="333"/>
      <c r="CF106" s="333"/>
      <c r="CG106" s="333"/>
      <c r="CH106" s="333"/>
      <c r="CI106" s="333"/>
      <c r="CJ106" s="333"/>
      <c r="CK106" s="333"/>
      <c r="CL106" s="333"/>
      <c r="CM106" s="333"/>
      <c r="CN106" s="333"/>
      <c r="CO106" s="333"/>
      <c r="CP106" s="333"/>
      <c r="CQ106" s="333"/>
      <c r="CR106" s="333"/>
    </row>
    <row r="107" spans="1:96" s="332" customFormat="1" ht="24.95" customHeight="1" x14ac:dyDescent="0.7">
      <c r="A107" s="342"/>
      <c r="B107" s="342"/>
      <c r="C107" s="342"/>
      <c r="D107" s="343"/>
      <c r="E107" s="343"/>
      <c r="F107" s="344"/>
      <c r="G107" s="344"/>
      <c r="H107" s="344"/>
      <c r="I107" s="344"/>
      <c r="J107" s="344"/>
      <c r="K107" s="344"/>
      <c r="L107" s="152"/>
      <c r="M107" s="152"/>
      <c r="N107" s="152"/>
      <c r="Q107" s="333"/>
      <c r="R107" s="333"/>
      <c r="S107" s="334"/>
      <c r="T107" s="333"/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  <c r="AJ107" s="333"/>
      <c r="AK107" s="333"/>
      <c r="AL107" s="333"/>
      <c r="AM107" s="333"/>
      <c r="AN107" s="333"/>
      <c r="AO107" s="333"/>
      <c r="AP107" s="333"/>
      <c r="AQ107" s="333"/>
      <c r="AR107" s="333"/>
      <c r="AS107" s="333"/>
      <c r="AT107" s="333"/>
      <c r="AU107" s="333"/>
      <c r="AV107" s="333"/>
      <c r="AW107" s="333"/>
      <c r="AX107" s="333"/>
      <c r="AY107" s="333"/>
      <c r="AZ107" s="333"/>
      <c r="BA107" s="333"/>
      <c r="BB107" s="333"/>
      <c r="BC107" s="333"/>
      <c r="BD107" s="333"/>
      <c r="BE107" s="333"/>
      <c r="BF107" s="333"/>
      <c r="BG107" s="333"/>
      <c r="BH107" s="333"/>
      <c r="BI107" s="333"/>
      <c r="BJ107" s="333"/>
      <c r="BK107" s="333"/>
      <c r="BL107" s="333"/>
      <c r="BM107" s="333"/>
      <c r="BN107" s="333"/>
      <c r="BO107" s="333"/>
      <c r="BP107" s="333"/>
      <c r="BQ107" s="333"/>
      <c r="BR107" s="333"/>
      <c r="BS107" s="333"/>
      <c r="BT107" s="333"/>
      <c r="BU107" s="333"/>
      <c r="BV107" s="333"/>
      <c r="BW107" s="333"/>
      <c r="BX107" s="333"/>
      <c r="BY107" s="333"/>
      <c r="BZ107" s="333"/>
      <c r="CA107" s="333"/>
      <c r="CB107" s="333"/>
      <c r="CC107" s="333"/>
      <c r="CD107" s="333"/>
      <c r="CE107" s="333"/>
      <c r="CF107" s="333"/>
      <c r="CG107" s="333"/>
      <c r="CH107" s="333"/>
      <c r="CI107" s="333"/>
      <c r="CJ107" s="333"/>
      <c r="CK107" s="333"/>
      <c r="CL107" s="333"/>
      <c r="CM107" s="333"/>
      <c r="CN107" s="333"/>
      <c r="CO107" s="333"/>
      <c r="CP107" s="333"/>
      <c r="CQ107" s="333"/>
      <c r="CR107" s="333"/>
    </row>
    <row r="108" spans="1:96" s="332" customFormat="1" ht="24.95" customHeight="1" x14ac:dyDescent="0.7">
      <c r="A108" s="342"/>
      <c r="B108" s="342"/>
      <c r="C108" s="342"/>
      <c r="D108" s="343"/>
      <c r="E108" s="343"/>
      <c r="F108" s="344"/>
      <c r="G108" s="344"/>
      <c r="H108" s="344"/>
      <c r="I108" s="344"/>
      <c r="J108" s="344"/>
      <c r="K108" s="344"/>
      <c r="L108" s="152"/>
      <c r="M108" s="152"/>
      <c r="N108" s="152"/>
      <c r="Q108" s="333"/>
      <c r="R108" s="333"/>
      <c r="S108" s="334"/>
      <c r="T108" s="333"/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  <c r="AJ108" s="333"/>
      <c r="AK108" s="333"/>
      <c r="AL108" s="333"/>
      <c r="AM108" s="333"/>
      <c r="AN108" s="333"/>
      <c r="AO108" s="333"/>
      <c r="AP108" s="333"/>
      <c r="AQ108" s="333"/>
      <c r="AR108" s="333"/>
      <c r="AS108" s="333"/>
      <c r="AT108" s="333"/>
      <c r="AU108" s="333"/>
      <c r="AV108" s="333"/>
      <c r="AW108" s="333"/>
      <c r="AX108" s="333"/>
      <c r="AY108" s="333"/>
      <c r="AZ108" s="333"/>
      <c r="BA108" s="333"/>
      <c r="BB108" s="333"/>
      <c r="BC108" s="333"/>
      <c r="BD108" s="333"/>
      <c r="BE108" s="333"/>
      <c r="BF108" s="333"/>
      <c r="BG108" s="333"/>
      <c r="BH108" s="333"/>
      <c r="BI108" s="333"/>
      <c r="BJ108" s="333"/>
      <c r="BK108" s="333"/>
      <c r="BL108" s="333"/>
      <c r="BM108" s="333"/>
      <c r="BN108" s="333"/>
      <c r="BO108" s="333"/>
      <c r="BP108" s="333"/>
      <c r="BQ108" s="333"/>
      <c r="BR108" s="333"/>
      <c r="BS108" s="333"/>
      <c r="BT108" s="333"/>
      <c r="BU108" s="333"/>
      <c r="BV108" s="333"/>
      <c r="BW108" s="333"/>
      <c r="BX108" s="333"/>
      <c r="BY108" s="333"/>
      <c r="BZ108" s="333"/>
      <c r="CA108" s="333"/>
      <c r="CB108" s="333"/>
      <c r="CC108" s="333"/>
      <c r="CD108" s="333"/>
      <c r="CE108" s="333"/>
      <c r="CF108" s="333"/>
      <c r="CG108" s="333"/>
      <c r="CH108" s="333"/>
      <c r="CI108" s="333"/>
      <c r="CJ108" s="333"/>
      <c r="CK108" s="333"/>
      <c r="CL108" s="333"/>
      <c r="CM108" s="333"/>
      <c r="CN108" s="333"/>
      <c r="CO108" s="333"/>
      <c r="CP108" s="333"/>
      <c r="CQ108" s="333"/>
      <c r="CR108" s="333"/>
    </row>
    <row r="109" spans="1:96" s="332" customFormat="1" ht="24.95" customHeight="1" x14ac:dyDescent="0.7">
      <c r="A109" s="342"/>
      <c r="B109" s="342"/>
      <c r="C109" s="342"/>
      <c r="D109" s="343"/>
      <c r="E109" s="343"/>
      <c r="F109" s="344"/>
      <c r="G109" s="344"/>
      <c r="H109" s="344"/>
      <c r="I109" s="344"/>
      <c r="J109" s="344"/>
      <c r="K109" s="344"/>
      <c r="L109" s="152"/>
      <c r="M109" s="152"/>
      <c r="N109" s="152"/>
      <c r="Q109" s="333"/>
      <c r="R109" s="333"/>
      <c r="S109" s="334"/>
      <c r="T109" s="333"/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  <c r="AM109" s="333"/>
      <c r="AN109" s="333"/>
      <c r="AO109" s="333"/>
      <c r="AP109" s="333"/>
      <c r="AQ109" s="333"/>
      <c r="AR109" s="333"/>
      <c r="AS109" s="333"/>
      <c r="AT109" s="333"/>
      <c r="AU109" s="333"/>
      <c r="AV109" s="333"/>
      <c r="AW109" s="333"/>
      <c r="AX109" s="333"/>
      <c r="AY109" s="333"/>
      <c r="AZ109" s="333"/>
      <c r="BA109" s="333"/>
      <c r="BB109" s="333"/>
      <c r="BC109" s="333"/>
      <c r="BD109" s="333"/>
      <c r="BE109" s="333"/>
      <c r="BF109" s="333"/>
      <c r="BG109" s="333"/>
      <c r="BH109" s="333"/>
      <c r="BI109" s="333"/>
      <c r="BJ109" s="333"/>
      <c r="BK109" s="333"/>
      <c r="BL109" s="333"/>
      <c r="BM109" s="333"/>
      <c r="BN109" s="333"/>
      <c r="BO109" s="333"/>
      <c r="BP109" s="333"/>
      <c r="BQ109" s="333"/>
      <c r="BR109" s="333"/>
      <c r="BS109" s="333"/>
      <c r="BT109" s="333"/>
      <c r="BU109" s="333"/>
      <c r="BV109" s="333"/>
      <c r="BW109" s="333"/>
      <c r="BX109" s="333"/>
      <c r="BY109" s="333"/>
      <c r="BZ109" s="333"/>
      <c r="CA109" s="333"/>
      <c r="CB109" s="333"/>
      <c r="CC109" s="333"/>
      <c r="CD109" s="333"/>
      <c r="CE109" s="333"/>
      <c r="CF109" s="333"/>
      <c r="CG109" s="333"/>
      <c r="CH109" s="333"/>
      <c r="CI109" s="333"/>
      <c r="CJ109" s="333"/>
      <c r="CK109" s="333"/>
      <c r="CL109" s="333"/>
      <c r="CM109" s="333"/>
      <c r="CN109" s="333"/>
      <c r="CO109" s="333"/>
      <c r="CP109" s="333"/>
      <c r="CQ109" s="333"/>
      <c r="CR109" s="333"/>
    </row>
    <row r="110" spans="1:96" s="332" customFormat="1" ht="24.95" customHeight="1" x14ac:dyDescent="0.7">
      <c r="A110" s="342"/>
      <c r="B110" s="342"/>
      <c r="C110" s="342"/>
      <c r="D110" s="343"/>
      <c r="E110" s="343"/>
      <c r="F110" s="344"/>
      <c r="G110" s="344"/>
      <c r="H110" s="344"/>
      <c r="I110" s="344"/>
      <c r="J110" s="344"/>
      <c r="K110" s="344"/>
      <c r="L110" s="152"/>
      <c r="M110" s="152"/>
      <c r="N110" s="152"/>
      <c r="Q110" s="333"/>
      <c r="R110" s="333"/>
      <c r="S110" s="334"/>
      <c r="T110" s="333"/>
      <c r="U110" s="333"/>
      <c r="V110" s="333"/>
      <c r="W110" s="333"/>
      <c r="X110" s="333"/>
      <c r="Y110" s="333"/>
      <c r="Z110" s="333"/>
      <c r="AA110" s="333"/>
      <c r="AB110" s="333"/>
      <c r="AC110" s="333"/>
      <c r="AD110" s="333"/>
      <c r="AE110" s="333"/>
      <c r="AF110" s="333"/>
      <c r="AG110" s="333"/>
      <c r="AH110" s="333"/>
      <c r="AI110" s="333"/>
      <c r="AJ110" s="333"/>
      <c r="AK110" s="333"/>
      <c r="AL110" s="333"/>
      <c r="AM110" s="333"/>
      <c r="AN110" s="333"/>
      <c r="AO110" s="333"/>
      <c r="AP110" s="333"/>
      <c r="AQ110" s="333"/>
      <c r="AR110" s="333"/>
      <c r="AS110" s="333"/>
      <c r="AT110" s="333"/>
      <c r="AU110" s="333"/>
      <c r="AV110" s="333"/>
      <c r="AW110" s="333"/>
      <c r="AX110" s="333"/>
      <c r="AY110" s="333"/>
      <c r="AZ110" s="333"/>
      <c r="BA110" s="333"/>
      <c r="BB110" s="333"/>
      <c r="BC110" s="333"/>
      <c r="BD110" s="333"/>
      <c r="BE110" s="333"/>
      <c r="BF110" s="333"/>
      <c r="BG110" s="333"/>
      <c r="BH110" s="333"/>
      <c r="BI110" s="333"/>
      <c r="BJ110" s="333"/>
      <c r="BK110" s="333"/>
      <c r="BL110" s="333"/>
      <c r="BM110" s="333"/>
      <c r="BN110" s="333"/>
      <c r="BO110" s="333"/>
      <c r="BP110" s="333"/>
      <c r="BQ110" s="333"/>
      <c r="BR110" s="333"/>
      <c r="BS110" s="333"/>
      <c r="BT110" s="333"/>
      <c r="BU110" s="333"/>
      <c r="BV110" s="333"/>
      <c r="BW110" s="333"/>
      <c r="BX110" s="333"/>
      <c r="BY110" s="333"/>
      <c r="BZ110" s="333"/>
      <c r="CA110" s="333"/>
      <c r="CB110" s="333"/>
      <c r="CC110" s="333"/>
      <c r="CD110" s="333"/>
      <c r="CE110" s="333"/>
      <c r="CF110" s="333"/>
      <c r="CG110" s="333"/>
      <c r="CH110" s="333"/>
      <c r="CI110" s="333"/>
      <c r="CJ110" s="333"/>
      <c r="CK110" s="333"/>
      <c r="CL110" s="333"/>
      <c r="CM110" s="333"/>
      <c r="CN110" s="333"/>
      <c r="CO110" s="333"/>
      <c r="CP110" s="333"/>
      <c r="CQ110" s="333"/>
      <c r="CR110" s="333"/>
    </row>
    <row r="111" spans="1:96" s="332" customFormat="1" ht="24.95" customHeight="1" x14ac:dyDescent="0.7">
      <c r="A111" s="342"/>
      <c r="B111" s="342"/>
      <c r="C111" s="342"/>
      <c r="D111" s="343"/>
      <c r="E111" s="343"/>
      <c r="F111" s="344"/>
      <c r="G111" s="344"/>
      <c r="H111" s="344"/>
      <c r="I111" s="344"/>
      <c r="J111" s="344"/>
      <c r="K111" s="344"/>
      <c r="L111" s="152"/>
      <c r="M111" s="152"/>
      <c r="N111" s="152"/>
      <c r="Q111" s="333"/>
      <c r="R111" s="333"/>
      <c r="S111" s="334"/>
      <c r="T111" s="333"/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  <c r="AJ111" s="333"/>
      <c r="AK111" s="333"/>
      <c r="AL111" s="333"/>
      <c r="AM111" s="333"/>
      <c r="AN111" s="333"/>
      <c r="AO111" s="333"/>
      <c r="AP111" s="333"/>
      <c r="AQ111" s="333"/>
      <c r="AR111" s="333"/>
      <c r="AS111" s="333"/>
      <c r="AT111" s="333"/>
      <c r="AU111" s="333"/>
      <c r="AV111" s="333"/>
      <c r="AW111" s="333"/>
      <c r="AX111" s="333"/>
      <c r="AY111" s="333"/>
      <c r="AZ111" s="333"/>
      <c r="BA111" s="333"/>
      <c r="BB111" s="333"/>
      <c r="BC111" s="333"/>
      <c r="BD111" s="333"/>
      <c r="BE111" s="333"/>
      <c r="BF111" s="333"/>
      <c r="BG111" s="333"/>
      <c r="BH111" s="333"/>
      <c r="BI111" s="333"/>
      <c r="BJ111" s="333"/>
      <c r="BK111" s="333"/>
      <c r="BL111" s="333"/>
      <c r="BM111" s="333"/>
      <c r="BN111" s="333"/>
      <c r="BO111" s="333"/>
      <c r="BP111" s="333"/>
      <c r="BQ111" s="333"/>
      <c r="BR111" s="333"/>
      <c r="BS111" s="333"/>
      <c r="BT111" s="333"/>
      <c r="BU111" s="333"/>
      <c r="BV111" s="333"/>
      <c r="BW111" s="333"/>
      <c r="BX111" s="333"/>
      <c r="BY111" s="333"/>
      <c r="BZ111" s="333"/>
      <c r="CA111" s="333"/>
      <c r="CB111" s="333"/>
      <c r="CC111" s="333"/>
      <c r="CD111" s="333"/>
      <c r="CE111" s="333"/>
      <c r="CF111" s="333"/>
      <c r="CG111" s="333"/>
      <c r="CH111" s="333"/>
      <c r="CI111" s="333"/>
      <c r="CJ111" s="333"/>
      <c r="CK111" s="333"/>
      <c r="CL111" s="333"/>
      <c r="CM111" s="333"/>
      <c r="CN111" s="333"/>
      <c r="CO111" s="333"/>
      <c r="CP111" s="333"/>
      <c r="CQ111" s="333"/>
      <c r="CR111" s="333"/>
    </row>
    <row r="112" spans="1:96" s="332" customFormat="1" ht="24.95" customHeight="1" x14ac:dyDescent="0.7">
      <c r="A112" s="342"/>
      <c r="B112" s="342"/>
      <c r="C112" s="342"/>
      <c r="D112" s="343"/>
      <c r="E112" s="343"/>
      <c r="F112" s="344"/>
      <c r="G112" s="344"/>
      <c r="H112" s="344"/>
      <c r="I112" s="344"/>
      <c r="J112" s="344"/>
      <c r="K112" s="344"/>
      <c r="L112" s="152"/>
      <c r="M112" s="152"/>
      <c r="N112" s="152"/>
      <c r="Q112" s="333"/>
      <c r="R112" s="333"/>
      <c r="S112" s="334"/>
      <c r="T112" s="333"/>
      <c r="U112" s="333"/>
      <c r="V112" s="333"/>
      <c r="W112" s="333"/>
      <c r="X112" s="333"/>
      <c r="Y112" s="333"/>
      <c r="Z112" s="333"/>
      <c r="AA112" s="333"/>
      <c r="AB112" s="333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  <c r="AN112" s="333"/>
      <c r="AO112" s="333"/>
      <c r="AP112" s="333"/>
      <c r="AQ112" s="333"/>
      <c r="AR112" s="333"/>
      <c r="AS112" s="333"/>
      <c r="AT112" s="333"/>
      <c r="AU112" s="333"/>
      <c r="AV112" s="333"/>
      <c r="AW112" s="333"/>
      <c r="AX112" s="333"/>
      <c r="AY112" s="333"/>
      <c r="AZ112" s="333"/>
      <c r="BA112" s="333"/>
      <c r="BB112" s="333"/>
      <c r="BC112" s="333"/>
      <c r="BD112" s="333"/>
      <c r="BE112" s="333"/>
      <c r="BF112" s="333"/>
      <c r="BG112" s="333"/>
      <c r="BH112" s="333"/>
      <c r="BI112" s="333"/>
      <c r="BJ112" s="333"/>
      <c r="BK112" s="333"/>
      <c r="BL112" s="333"/>
      <c r="BM112" s="333"/>
      <c r="BN112" s="333"/>
      <c r="BO112" s="333"/>
      <c r="BP112" s="333"/>
      <c r="BQ112" s="333"/>
      <c r="BR112" s="333"/>
      <c r="BS112" s="333"/>
      <c r="BT112" s="333"/>
      <c r="BU112" s="333"/>
      <c r="BV112" s="333"/>
      <c r="BW112" s="333"/>
      <c r="BX112" s="333"/>
      <c r="BY112" s="333"/>
      <c r="BZ112" s="333"/>
      <c r="CA112" s="333"/>
      <c r="CB112" s="333"/>
      <c r="CC112" s="333"/>
      <c r="CD112" s="333"/>
      <c r="CE112" s="333"/>
      <c r="CF112" s="333"/>
      <c r="CG112" s="333"/>
      <c r="CH112" s="333"/>
      <c r="CI112" s="333"/>
      <c r="CJ112" s="333"/>
      <c r="CK112" s="333"/>
      <c r="CL112" s="333"/>
      <c r="CM112" s="333"/>
      <c r="CN112" s="333"/>
      <c r="CO112" s="333"/>
      <c r="CP112" s="333"/>
      <c r="CQ112" s="333"/>
      <c r="CR112" s="333"/>
    </row>
    <row r="113" spans="1:96" s="332" customFormat="1" ht="24.95" customHeight="1" x14ac:dyDescent="0.7">
      <c r="A113" s="342"/>
      <c r="B113" s="342"/>
      <c r="C113" s="342"/>
      <c r="D113" s="343"/>
      <c r="E113" s="343"/>
      <c r="F113" s="344"/>
      <c r="G113" s="344"/>
      <c r="H113" s="344"/>
      <c r="I113" s="344"/>
      <c r="J113" s="344"/>
      <c r="K113" s="344"/>
      <c r="L113" s="152"/>
      <c r="M113" s="152"/>
      <c r="N113" s="152"/>
      <c r="Q113" s="333"/>
      <c r="R113" s="333"/>
      <c r="S113" s="334"/>
      <c r="T113" s="333"/>
      <c r="U113" s="333"/>
      <c r="V113" s="333"/>
      <c r="W113" s="333"/>
      <c r="X113" s="333"/>
      <c r="Y113" s="333"/>
      <c r="Z113" s="333"/>
      <c r="AA113" s="333"/>
      <c r="AB113" s="333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  <c r="AN113" s="333"/>
      <c r="AO113" s="333"/>
      <c r="AP113" s="333"/>
      <c r="AQ113" s="333"/>
      <c r="AR113" s="333"/>
      <c r="AS113" s="333"/>
      <c r="AT113" s="333"/>
      <c r="AU113" s="333"/>
      <c r="AV113" s="333"/>
      <c r="AW113" s="333"/>
      <c r="AX113" s="333"/>
      <c r="AY113" s="333"/>
      <c r="AZ113" s="333"/>
      <c r="BA113" s="333"/>
      <c r="BB113" s="333"/>
      <c r="BC113" s="333"/>
      <c r="BD113" s="333"/>
      <c r="BE113" s="333"/>
      <c r="BF113" s="333"/>
      <c r="BG113" s="333"/>
      <c r="BH113" s="333"/>
      <c r="BI113" s="333"/>
      <c r="BJ113" s="333"/>
      <c r="BK113" s="333"/>
      <c r="BL113" s="333"/>
      <c r="BM113" s="333"/>
      <c r="BN113" s="333"/>
      <c r="BO113" s="333"/>
      <c r="BP113" s="333"/>
      <c r="BQ113" s="333"/>
      <c r="BR113" s="333"/>
      <c r="BS113" s="333"/>
      <c r="BT113" s="333"/>
      <c r="BU113" s="333"/>
      <c r="BV113" s="333"/>
      <c r="BW113" s="333"/>
      <c r="BX113" s="333"/>
      <c r="BY113" s="333"/>
      <c r="BZ113" s="333"/>
      <c r="CA113" s="333"/>
      <c r="CB113" s="333"/>
      <c r="CC113" s="333"/>
      <c r="CD113" s="333"/>
      <c r="CE113" s="333"/>
      <c r="CF113" s="333"/>
      <c r="CG113" s="333"/>
      <c r="CH113" s="333"/>
      <c r="CI113" s="333"/>
      <c r="CJ113" s="333"/>
      <c r="CK113" s="333"/>
      <c r="CL113" s="333"/>
      <c r="CM113" s="333"/>
      <c r="CN113" s="333"/>
      <c r="CO113" s="333"/>
      <c r="CP113" s="333"/>
      <c r="CQ113" s="333"/>
      <c r="CR113" s="333"/>
    </row>
    <row r="114" spans="1:96" s="332" customFormat="1" ht="24.95" customHeight="1" x14ac:dyDescent="0.7">
      <c r="A114" s="342"/>
      <c r="B114" s="342"/>
      <c r="C114" s="342"/>
      <c r="D114" s="343"/>
      <c r="E114" s="343"/>
      <c r="F114" s="344"/>
      <c r="G114" s="344"/>
      <c r="H114" s="344"/>
      <c r="I114" s="344"/>
      <c r="J114" s="344"/>
      <c r="K114" s="344"/>
      <c r="L114" s="152"/>
      <c r="M114" s="152"/>
      <c r="N114" s="152"/>
      <c r="Q114" s="333"/>
      <c r="R114" s="333"/>
      <c r="S114" s="334"/>
      <c r="T114" s="333"/>
      <c r="U114" s="333"/>
      <c r="V114" s="333"/>
      <c r="W114" s="333"/>
      <c r="X114" s="333"/>
      <c r="Y114" s="333"/>
      <c r="Z114" s="333"/>
      <c r="AA114" s="333"/>
      <c r="AB114" s="333"/>
      <c r="AC114" s="333"/>
      <c r="AD114" s="333"/>
      <c r="AE114" s="333"/>
      <c r="AF114" s="333"/>
      <c r="AG114" s="333"/>
      <c r="AH114" s="333"/>
      <c r="AI114" s="333"/>
      <c r="AJ114" s="333"/>
      <c r="AK114" s="333"/>
      <c r="AL114" s="333"/>
      <c r="AM114" s="333"/>
      <c r="AN114" s="333"/>
      <c r="AO114" s="333"/>
      <c r="AP114" s="333"/>
      <c r="AQ114" s="333"/>
      <c r="AR114" s="333"/>
      <c r="AS114" s="333"/>
      <c r="AT114" s="333"/>
      <c r="AU114" s="333"/>
      <c r="AV114" s="333"/>
      <c r="AW114" s="333"/>
      <c r="AX114" s="333"/>
      <c r="AY114" s="333"/>
      <c r="AZ114" s="333"/>
      <c r="BA114" s="333"/>
      <c r="BB114" s="333"/>
      <c r="BC114" s="333"/>
      <c r="BD114" s="333"/>
      <c r="BE114" s="333"/>
      <c r="BF114" s="333"/>
      <c r="BG114" s="333"/>
      <c r="BH114" s="333"/>
      <c r="BI114" s="333"/>
      <c r="BJ114" s="333"/>
      <c r="BK114" s="333"/>
      <c r="BL114" s="333"/>
      <c r="BM114" s="333"/>
      <c r="BN114" s="333"/>
      <c r="BO114" s="333"/>
      <c r="BP114" s="333"/>
      <c r="BQ114" s="333"/>
      <c r="BR114" s="333"/>
      <c r="BS114" s="333"/>
      <c r="BT114" s="333"/>
      <c r="BU114" s="333"/>
      <c r="BV114" s="333"/>
      <c r="BW114" s="333"/>
      <c r="BX114" s="333"/>
      <c r="BY114" s="333"/>
      <c r="BZ114" s="333"/>
      <c r="CA114" s="333"/>
      <c r="CB114" s="333"/>
      <c r="CC114" s="333"/>
      <c r="CD114" s="333"/>
      <c r="CE114" s="333"/>
      <c r="CF114" s="333"/>
      <c r="CG114" s="333"/>
      <c r="CH114" s="333"/>
      <c r="CI114" s="333"/>
      <c r="CJ114" s="333"/>
      <c r="CK114" s="333"/>
      <c r="CL114" s="333"/>
      <c r="CM114" s="333"/>
      <c r="CN114" s="333"/>
      <c r="CO114" s="333"/>
      <c r="CP114" s="333"/>
      <c r="CQ114" s="333"/>
      <c r="CR114" s="333"/>
    </row>
    <row r="115" spans="1:96" s="332" customFormat="1" ht="24.95" customHeight="1" x14ac:dyDescent="0.7">
      <c r="A115" s="342"/>
      <c r="B115" s="342"/>
      <c r="C115" s="342"/>
      <c r="D115" s="343"/>
      <c r="E115" s="343"/>
      <c r="F115" s="344"/>
      <c r="G115" s="344"/>
      <c r="H115" s="344"/>
      <c r="I115" s="344"/>
      <c r="J115" s="344"/>
      <c r="K115" s="344"/>
      <c r="L115" s="152"/>
      <c r="M115" s="152"/>
      <c r="N115" s="152"/>
      <c r="Q115" s="333"/>
      <c r="R115" s="333"/>
      <c r="S115" s="334"/>
      <c r="T115" s="333"/>
      <c r="U115" s="333"/>
      <c r="V115" s="333"/>
      <c r="W115" s="333"/>
      <c r="X115" s="333"/>
      <c r="Y115" s="333"/>
      <c r="Z115" s="333"/>
      <c r="AA115" s="333"/>
      <c r="AB115" s="333"/>
      <c r="AC115" s="333"/>
      <c r="AD115" s="333"/>
      <c r="AE115" s="333"/>
      <c r="AF115" s="333"/>
      <c r="AG115" s="333"/>
      <c r="AH115" s="333"/>
      <c r="AI115" s="333"/>
      <c r="AJ115" s="333"/>
      <c r="AK115" s="333"/>
      <c r="AL115" s="333"/>
      <c r="AM115" s="333"/>
      <c r="AN115" s="333"/>
      <c r="AO115" s="333"/>
      <c r="AP115" s="333"/>
      <c r="AQ115" s="333"/>
      <c r="AR115" s="333"/>
      <c r="AS115" s="333"/>
      <c r="AT115" s="333"/>
      <c r="AU115" s="333"/>
      <c r="AV115" s="333"/>
      <c r="AW115" s="333"/>
      <c r="AX115" s="333"/>
      <c r="AY115" s="333"/>
      <c r="AZ115" s="333"/>
      <c r="BA115" s="333"/>
      <c r="BB115" s="333"/>
      <c r="BC115" s="333"/>
      <c r="BD115" s="333"/>
      <c r="BE115" s="333"/>
      <c r="BF115" s="333"/>
      <c r="BG115" s="333"/>
      <c r="BH115" s="333"/>
      <c r="BI115" s="333"/>
      <c r="BJ115" s="333"/>
      <c r="BK115" s="333"/>
      <c r="BL115" s="333"/>
      <c r="BM115" s="333"/>
      <c r="BN115" s="333"/>
      <c r="BO115" s="333"/>
      <c r="BP115" s="333"/>
      <c r="BQ115" s="333"/>
      <c r="BR115" s="333"/>
      <c r="BS115" s="333"/>
      <c r="BT115" s="333"/>
      <c r="BU115" s="333"/>
      <c r="BV115" s="333"/>
      <c r="BW115" s="333"/>
      <c r="BX115" s="333"/>
      <c r="BY115" s="333"/>
      <c r="BZ115" s="333"/>
      <c r="CA115" s="333"/>
      <c r="CB115" s="333"/>
      <c r="CC115" s="333"/>
      <c r="CD115" s="333"/>
      <c r="CE115" s="333"/>
      <c r="CF115" s="333"/>
      <c r="CG115" s="333"/>
      <c r="CH115" s="333"/>
      <c r="CI115" s="333"/>
      <c r="CJ115" s="333"/>
      <c r="CK115" s="333"/>
      <c r="CL115" s="333"/>
      <c r="CM115" s="333"/>
      <c r="CN115" s="333"/>
      <c r="CO115" s="333"/>
      <c r="CP115" s="333"/>
      <c r="CQ115" s="333"/>
      <c r="CR115" s="333"/>
    </row>
    <row r="116" spans="1:96" s="332" customFormat="1" ht="24.95" customHeight="1" x14ac:dyDescent="0.7">
      <c r="A116" s="342"/>
      <c r="B116" s="342"/>
      <c r="C116" s="342"/>
      <c r="D116" s="343"/>
      <c r="E116" s="343"/>
      <c r="F116" s="344"/>
      <c r="G116" s="344"/>
      <c r="H116" s="344"/>
      <c r="I116" s="344"/>
      <c r="J116" s="344"/>
      <c r="K116" s="344"/>
      <c r="L116" s="152"/>
      <c r="M116" s="152"/>
      <c r="N116" s="152"/>
      <c r="Q116" s="333"/>
      <c r="R116" s="333"/>
      <c r="S116" s="334"/>
      <c r="T116" s="333"/>
      <c r="U116" s="333"/>
      <c r="V116" s="333"/>
      <c r="W116" s="333"/>
      <c r="X116" s="333"/>
      <c r="Y116" s="333"/>
      <c r="Z116" s="333"/>
      <c r="AA116" s="333"/>
      <c r="AB116" s="333"/>
      <c r="AC116" s="333"/>
      <c r="AD116" s="333"/>
      <c r="AE116" s="333"/>
      <c r="AF116" s="333"/>
      <c r="AG116" s="333"/>
      <c r="AH116" s="333"/>
      <c r="AI116" s="333"/>
      <c r="AJ116" s="333"/>
      <c r="AK116" s="333"/>
      <c r="AL116" s="333"/>
      <c r="AM116" s="333"/>
      <c r="AN116" s="333"/>
      <c r="AO116" s="333"/>
      <c r="AP116" s="333"/>
      <c r="AQ116" s="333"/>
      <c r="AR116" s="333"/>
      <c r="AS116" s="333"/>
      <c r="AT116" s="333"/>
      <c r="AU116" s="333"/>
      <c r="AV116" s="333"/>
      <c r="AW116" s="333"/>
      <c r="AX116" s="333"/>
      <c r="AY116" s="333"/>
      <c r="AZ116" s="333"/>
      <c r="BA116" s="333"/>
      <c r="BB116" s="333"/>
      <c r="BC116" s="333"/>
      <c r="BD116" s="333"/>
      <c r="BE116" s="333"/>
      <c r="BF116" s="333"/>
      <c r="BG116" s="333"/>
      <c r="BH116" s="333"/>
      <c r="BI116" s="333"/>
      <c r="BJ116" s="333"/>
      <c r="BK116" s="333"/>
      <c r="BL116" s="333"/>
      <c r="BM116" s="333"/>
      <c r="BN116" s="333"/>
      <c r="BO116" s="333"/>
      <c r="BP116" s="333"/>
      <c r="BQ116" s="333"/>
      <c r="BR116" s="333"/>
      <c r="BS116" s="333"/>
      <c r="BT116" s="333"/>
      <c r="BU116" s="333"/>
      <c r="BV116" s="333"/>
      <c r="BW116" s="333"/>
      <c r="BX116" s="333"/>
      <c r="BY116" s="333"/>
      <c r="BZ116" s="333"/>
      <c r="CA116" s="333"/>
      <c r="CB116" s="333"/>
      <c r="CC116" s="333"/>
      <c r="CD116" s="333"/>
      <c r="CE116" s="333"/>
      <c r="CF116" s="333"/>
      <c r="CG116" s="333"/>
      <c r="CH116" s="333"/>
      <c r="CI116" s="333"/>
      <c r="CJ116" s="333"/>
      <c r="CK116" s="333"/>
      <c r="CL116" s="333"/>
      <c r="CM116" s="333"/>
      <c r="CN116" s="333"/>
      <c r="CO116" s="333"/>
      <c r="CP116" s="333"/>
      <c r="CQ116" s="333"/>
      <c r="CR116" s="333"/>
    </row>
    <row r="117" spans="1:96" s="332" customFormat="1" ht="24.95" customHeight="1" x14ac:dyDescent="0.7">
      <c r="A117" s="342"/>
      <c r="B117" s="342"/>
      <c r="C117" s="342"/>
      <c r="D117" s="343"/>
      <c r="E117" s="343"/>
      <c r="F117" s="344"/>
      <c r="G117" s="344"/>
      <c r="H117" s="344"/>
      <c r="I117" s="344"/>
      <c r="J117" s="344"/>
      <c r="K117" s="344"/>
      <c r="L117" s="152"/>
      <c r="M117" s="152"/>
      <c r="N117" s="152"/>
      <c r="Q117" s="333"/>
      <c r="R117" s="333"/>
      <c r="S117" s="334"/>
      <c r="T117" s="333"/>
      <c r="U117" s="333"/>
      <c r="V117" s="333"/>
      <c r="W117" s="333"/>
      <c r="X117" s="333"/>
      <c r="Y117" s="333"/>
      <c r="Z117" s="333"/>
      <c r="AA117" s="333"/>
      <c r="AB117" s="333"/>
      <c r="AC117" s="333"/>
      <c r="AD117" s="333"/>
      <c r="AE117" s="333"/>
      <c r="AF117" s="333"/>
      <c r="AG117" s="333"/>
      <c r="AH117" s="333"/>
      <c r="AI117" s="333"/>
      <c r="AJ117" s="333"/>
      <c r="AK117" s="333"/>
      <c r="AL117" s="333"/>
      <c r="AM117" s="333"/>
      <c r="AN117" s="333"/>
      <c r="AO117" s="333"/>
      <c r="AP117" s="333"/>
      <c r="AQ117" s="333"/>
      <c r="AR117" s="333"/>
      <c r="AS117" s="333"/>
      <c r="AT117" s="333"/>
      <c r="AU117" s="333"/>
      <c r="AV117" s="333"/>
      <c r="AW117" s="333"/>
      <c r="AX117" s="333"/>
      <c r="AY117" s="333"/>
      <c r="AZ117" s="333"/>
      <c r="BA117" s="333"/>
      <c r="BB117" s="333"/>
      <c r="BC117" s="333"/>
      <c r="BD117" s="333"/>
      <c r="BE117" s="333"/>
      <c r="BF117" s="333"/>
      <c r="BG117" s="333"/>
      <c r="BH117" s="333"/>
      <c r="BI117" s="333"/>
      <c r="BJ117" s="333"/>
      <c r="BK117" s="333"/>
      <c r="BL117" s="333"/>
      <c r="BM117" s="333"/>
      <c r="BN117" s="333"/>
      <c r="BO117" s="333"/>
      <c r="BP117" s="333"/>
      <c r="BQ117" s="333"/>
      <c r="BR117" s="333"/>
      <c r="BS117" s="333"/>
      <c r="BT117" s="333"/>
      <c r="BU117" s="333"/>
      <c r="BV117" s="333"/>
      <c r="BW117" s="333"/>
      <c r="BX117" s="333"/>
      <c r="BY117" s="333"/>
      <c r="BZ117" s="333"/>
      <c r="CA117" s="333"/>
      <c r="CB117" s="333"/>
      <c r="CC117" s="333"/>
      <c r="CD117" s="333"/>
      <c r="CE117" s="333"/>
      <c r="CF117" s="333"/>
      <c r="CG117" s="333"/>
      <c r="CH117" s="333"/>
      <c r="CI117" s="333"/>
      <c r="CJ117" s="333"/>
      <c r="CK117" s="333"/>
      <c r="CL117" s="333"/>
      <c r="CM117" s="333"/>
      <c r="CN117" s="333"/>
      <c r="CO117" s="333"/>
      <c r="CP117" s="333"/>
      <c r="CQ117" s="333"/>
      <c r="CR117" s="333"/>
    </row>
    <row r="118" spans="1:96" s="332" customFormat="1" ht="24.95" customHeight="1" x14ac:dyDescent="0.7">
      <c r="A118" s="342"/>
      <c r="B118" s="342"/>
      <c r="C118" s="342"/>
      <c r="D118" s="343"/>
      <c r="E118" s="343"/>
      <c r="F118" s="344"/>
      <c r="G118" s="344"/>
      <c r="H118" s="344"/>
      <c r="I118" s="344"/>
      <c r="J118" s="344"/>
      <c r="K118" s="344"/>
      <c r="L118" s="152"/>
      <c r="M118" s="152"/>
      <c r="N118" s="152"/>
      <c r="Q118" s="333"/>
      <c r="R118" s="333"/>
      <c r="S118" s="334"/>
      <c r="T118" s="333"/>
      <c r="U118" s="333"/>
      <c r="V118" s="333"/>
      <c r="W118" s="333"/>
      <c r="X118" s="333"/>
      <c r="Y118" s="333"/>
      <c r="Z118" s="333"/>
      <c r="AA118" s="333"/>
      <c r="AB118" s="333"/>
      <c r="AC118" s="333"/>
      <c r="AD118" s="333"/>
      <c r="AE118" s="333"/>
      <c r="AF118" s="333"/>
      <c r="AG118" s="333"/>
      <c r="AH118" s="333"/>
      <c r="AI118" s="333"/>
      <c r="AJ118" s="333"/>
      <c r="AK118" s="333"/>
      <c r="AL118" s="333"/>
      <c r="AM118" s="333"/>
      <c r="AN118" s="333"/>
      <c r="AO118" s="333"/>
      <c r="AP118" s="333"/>
      <c r="AQ118" s="333"/>
      <c r="AR118" s="333"/>
      <c r="AS118" s="333"/>
      <c r="AT118" s="333"/>
      <c r="AU118" s="333"/>
      <c r="AV118" s="333"/>
      <c r="AW118" s="333"/>
      <c r="AX118" s="333"/>
      <c r="AY118" s="333"/>
      <c r="AZ118" s="333"/>
      <c r="BA118" s="333"/>
      <c r="BB118" s="333"/>
      <c r="BC118" s="333"/>
      <c r="BD118" s="333"/>
      <c r="BE118" s="333"/>
      <c r="BF118" s="333"/>
      <c r="BG118" s="333"/>
      <c r="BH118" s="333"/>
      <c r="BI118" s="333"/>
      <c r="BJ118" s="333"/>
      <c r="BK118" s="333"/>
      <c r="BL118" s="333"/>
      <c r="BM118" s="333"/>
      <c r="BN118" s="333"/>
      <c r="BO118" s="333"/>
      <c r="BP118" s="333"/>
      <c r="BQ118" s="333"/>
      <c r="BR118" s="333"/>
      <c r="BS118" s="333"/>
      <c r="BT118" s="333"/>
      <c r="BU118" s="333"/>
      <c r="BV118" s="333"/>
      <c r="BW118" s="333"/>
      <c r="BX118" s="333"/>
      <c r="BY118" s="333"/>
      <c r="BZ118" s="333"/>
      <c r="CA118" s="333"/>
      <c r="CB118" s="333"/>
      <c r="CC118" s="333"/>
      <c r="CD118" s="333"/>
      <c r="CE118" s="333"/>
      <c r="CF118" s="333"/>
      <c r="CG118" s="333"/>
      <c r="CH118" s="333"/>
      <c r="CI118" s="333"/>
      <c r="CJ118" s="333"/>
      <c r="CK118" s="333"/>
      <c r="CL118" s="333"/>
      <c r="CM118" s="333"/>
      <c r="CN118" s="333"/>
      <c r="CO118" s="333"/>
      <c r="CP118" s="333"/>
      <c r="CQ118" s="333"/>
      <c r="CR118" s="333"/>
    </row>
    <row r="119" spans="1:96" s="332" customFormat="1" ht="24.95" customHeight="1" x14ac:dyDescent="0.7">
      <c r="A119" s="342"/>
      <c r="B119" s="342"/>
      <c r="C119" s="342"/>
      <c r="D119" s="343"/>
      <c r="E119" s="343"/>
      <c r="F119" s="344"/>
      <c r="G119" s="344"/>
      <c r="H119" s="344"/>
      <c r="I119" s="344"/>
      <c r="J119" s="344"/>
      <c r="K119" s="344"/>
      <c r="L119" s="152"/>
      <c r="M119" s="152"/>
      <c r="N119" s="152"/>
      <c r="Q119" s="333"/>
      <c r="R119" s="333"/>
      <c r="S119" s="334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3"/>
      <c r="AY119" s="333"/>
      <c r="AZ119" s="333"/>
      <c r="BA119" s="333"/>
      <c r="BB119" s="333"/>
      <c r="BC119" s="333"/>
      <c r="BD119" s="333"/>
      <c r="BE119" s="333"/>
      <c r="BF119" s="333"/>
      <c r="BG119" s="333"/>
      <c r="BH119" s="333"/>
      <c r="BI119" s="333"/>
      <c r="BJ119" s="333"/>
      <c r="BK119" s="333"/>
      <c r="BL119" s="333"/>
      <c r="BM119" s="333"/>
      <c r="BN119" s="333"/>
      <c r="BO119" s="333"/>
      <c r="BP119" s="333"/>
      <c r="BQ119" s="333"/>
      <c r="BR119" s="333"/>
      <c r="BS119" s="333"/>
      <c r="BT119" s="333"/>
      <c r="BU119" s="333"/>
      <c r="BV119" s="333"/>
      <c r="BW119" s="333"/>
      <c r="BX119" s="333"/>
      <c r="BY119" s="333"/>
      <c r="BZ119" s="333"/>
      <c r="CA119" s="333"/>
      <c r="CB119" s="333"/>
      <c r="CC119" s="333"/>
      <c r="CD119" s="333"/>
      <c r="CE119" s="333"/>
      <c r="CF119" s="333"/>
      <c r="CG119" s="333"/>
      <c r="CH119" s="333"/>
      <c r="CI119" s="333"/>
      <c r="CJ119" s="333"/>
      <c r="CK119" s="333"/>
      <c r="CL119" s="333"/>
      <c r="CM119" s="333"/>
      <c r="CN119" s="333"/>
      <c r="CO119" s="333"/>
      <c r="CP119" s="333"/>
      <c r="CQ119" s="333"/>
      <c r="CR119" s="333"/>
    </row>
    <row r="120" spans="1:96" s="332" customFormat="1" ht="24.95" customHeight="1" x14ac:dyDescent="0.7">
      <c r="A120" s="342"/>
      <c r="B120" s="342"/>
      <c r="C120" s="342"/>
      <c r="D120" s="343"/>
      <c r="E120" s="343"/>
      <c r="F120" s="344"/>
      <c r="G120" s="344"/>
      <c r="H120" s="344"/>
      <c r="I120" s="344"/>
      <c r="J120" s="344"/>
      <c r="K120" s="344"/>
      <c r="L120" s="152"/>
      <c r="M120" s="152"/>
      <c r="N120" s="152"/>
      <c r="Q120" s="333"/>
      <c r="R120" s="333"/>
      <c r="S120" s="334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3"/>
      <c r="AY120" s="333"/>
      <c r="AZ120" s="333"/>
      <c r="BA120" s="333"/>
      <c r="BB120" s="333"/>
      <c r="BC120" s="333"/>
      <c r="BD120" s="333"/>
      <c r="BE120" s="333"/>
      <c r="BF120" s="333"/>
      <c r="BG120" s="333"/>
      <c r="BH120" s="333"/>
      <c r="BI120" s="333"/>
      <c r="BJ120" s="333"/>
      <c r="BK120" s="333"/>
      <c r="BL120" s="333"/>
      <c r="BM120" s="333"/>
      <c r="BN120" s="333"/>
      <c r="BO120" s="333"/>
      <c r="BP120" s="333"/>
      <c r="BQ120" s="333"/>
      <c r="BR120" s="333"/>
      <c r="BS120" s="333"/>
      <c r="BT120" s="333"/>
      <c r="BU120" s="333"/>
      <c r="BV120" s="333"/>
      <c r="BW120" s="333"/>
      <c r="BX120" s="333"/>
      <c r="BY120" s="333"/>
      <c r="BZ120" s="333"/>
      <c r="CA120" s="333"/>
      <c r="CB120" s="333"/>
      <c r="CC120" s="333"/>
      <c r="CD120" s="333"/>
      <c r="CE120" s="333"/>
      <c r="CF120" s="333"/>
      <c r="CG120" s="333"/>
      <c r="CH120" s="333"/>
      <c r="CI120" s="333"/>
      <c r="CJ120" s="333"/>
      <c r="CK120" s="333"/>
      <c r="CL120" s="333"/>
      <c r="CM120" s="333"/>
      <c r="CN120" s="333"/>
      <c r="CO120" s="333"/>
      <c r="CP120" s="333"/>
      <c r="CQ120" s="333"/>
      <c r="CR120" s="333"/>
    </row>
    <row r="121" spans="1:96" s="332" customFormat="1" ht="24.95" customHeight="1" x14ac:dyDescent="0.7">
      <c r="A121" s="342"/>
      <c r="B121" s="342"/>
      <c r="C121" s="342"/>
      <c r="D121" s="343"/>
      <c r="E121" s="343"/>
      <c r="F121" s="344"/>
      <c r="G121" s="344"/>
      <c r="H121" s="344"/>
      <c r="I121" s="344"/>
      <c r="J121" s="344"/>
      <c r="K121" s="344"/>
      <c r="L121" s="152"/>
      <c r="M121" s="152"/>
      <c r="N121" s="152"/>
      <c r="Q121" s="333"/>
      <c r="R121" s="333"/>
      <c r="S121" s="334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3"/>
      <c r="AY121" s="333"/>
      <c r="AZ121" s="333"/>
      <c r="BA121" s="333"/>
      <c r="BB121" s="333"/>
      <c r="BC121" s="333"/>
      <c r="BD121" s="333"/>
      <c r="BE121" s="333"/>
      <c r="BF121" s="333"/>
      <c r="BG121" s="333"/>
      <c r="BH121" s="333"/>
      <c r="BI121" s="333"/>
      <c r="BJ121" s="333"/>
      <c r="BK121" s="333"/>
      <c r="BL121" s="333"/>
      <c r="BM121" s="333"/>
      <c r="BN121" s="333"/>
      <c r="BO121" s="333"/>
      <c r="BP121" s="333"/>
      <c r="BQ121" s="333"/>
      <c r="BR121" s="333"/>
      <c r="BS121" s="333"/>
      <c r="BT121" s="333"/>
      <c r="BU121" s="333"/>
      <c r="BV121" s="333"/>
      <c r="BW121" s="333"/>
      <c r="BX121" s="333"/>
      <c r="BY121" s="333"/>
      <c r="BZ121" s="333"/>
      <c r="CA121" s="333"/>
      <c r="CB121" s="333"/>
      <c r="CC121" s="333"/>
      <c r="CD121" s="333"/>
      <c r="CE121" s="333"/>
      <c r="CF121" s="333"/>
      <c r="CG121" s="333"/>
      <c r="CH121" s="333"/>
      <c r="CI121" s="333"/>
      <c r="CJ121" s="333"/>
      <c r="CK121" s="333"/>
      <c r="CL121" s="333"/>
      <c r="CM121" s="333"/>
      <c r="CN121" s="333"/>
      <c r="CO121" s="333"/>
      <c r="CP121" s="333"/>
      <c r="CQ121" s="333"/>
      <c r="CR121" s="333"/>
    </row>
    <row r="122" spans="1:96" s="332" customFormat="1" ht="24.95" customHeight="1" x14ac:dyDescent="0.7">
      <c r="A122" s="342"/>
      <c r="B122" s="342"/>
      <c r="C122" s="342"/>
      <c r="D122" s="343"/>
      <c r="E122" s="343"/>
      <c r="F122" s="344"/>
      <c r="G122" s="344"/>
      <c r="H122" s="344"/>
      <c r="I122" s="344"/>
      <c r="J122" s="344"/>
      <c r="K122" s="344"/>
      <c r="L122" s="152"/>
      <c r="M122" s="152"/>
      <c r="N122" s="152"/>
      <c r="Q122" s="333"/>
      <c r="R122" s="333"/>
      <c r="S122" s="334"/>
      <c r="T122" s="333"/>
      <c r="U122" s="333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333"/>
      <c r="AH122" s="333"/>
      <c r="AI122" s="333"/>
      <c r="AJ122" s="333"/>
      <c r="AK122" s="333"/>
      <c r="AL122" s="333"/>
      <c r="AM122" s="333"/>
      <c r="AN122" s="333"/>
      <c r="AO122" s="333"/>
      <c r="AP122" s="333"/>
      <c r="AQ122" s="333"/>
      <c r="AR122" s="333"/>
      <c r="AS122" s="333"/>
      <c r="AT122" s="333"/>
      <c r="AU122" s="333"/>
      <c r="AV122" s="333"/>
      <c r="AW122" s="333"/>
      <c r="AX122" s="333"/>
      <c r="AY122" s="333"/>
      <c r="AZ122" s="333"/>
      <c r="BA122" s="333"/>
      <c r="BB122" s="333"/>
      <c r="BC122" s="333"/>
      <c r="BD122" s="333"/>
      <c r="BE122" s="333"/>
      <c r="BF122" s="333"/>
      <c r="BG122" s="333"/>
      <c r="BH122" s="333"/>
      <c r="BI122" s="333"/>
      <c r="BJ122" s="333"/>
      <c r="BK122" s="333"/>
      <c r="BL122" s="333"/>
      <c r="BM122" s="333"/>
      <c r="BN122" s="333"/>
      <c r="BO122" s="333"/>
      <c r="BP122" s="333"/>
      <c r="BQ122" s="333"/>
      <c r="BR122" s="333"/>
      <c r="BS122" s="333"/>
      <c r="BT122" s="333"/>
      <c r="BU122" s="333"/>
      <c r="BV122" s="333"/>
      <c r="BW122" s="333"/>
      <c r="BX122" s="333"/>
      <c r="BY122" s="333"/>
      <c r="BZ122" s="333"/>
      <c r="CA122" s="333"/>
      <c r="CB122" s="333"/>
      <c r="CC122" s="333"/>
      <c r="CD122" s="333"/>
      <c r="CE122" s="333"/>
      <c r="CF122" s="333"/>
      <c r="CG122" s="333"/>
      <c r="CH122" s="333"/>
      <c r="CI122" s="333"/>
      <c r="CJ122" s="333"/>
      <c r="CK122" s="333"/>
      <c r="CL122" s="333"/>
      <c r="CM122" s="333"/>
      <c r="CN122" s="333"/>
      <c r="CO122" s="333"/>
      <c r="CP122" s="333"/>
      <c r="CQ122" s="333"/>
      <c r="CR122" s="333"/>
    </row>
    <row r="123" spans="1:96" s="332" customFormat="1" ht="24.95" customHeight="1" x14ac:dyDescent="0.7">
      <c r="A123" s="342"/>
      <c r="B123" s="342"/>
      <c r="C123" s="342"/>
      <c r="D123" s="343"/>
      <c r="E123" s="343"/>
      <c r="F123" s="344"/>
      <c r="G123" s="344"/>
      <c r="H123" s="344"/>
      <c r="I123" s="344"/>
      <c r="J123" s="344"/>
      <c r="K123" s="344"/>
      <c r="L123" s="152"/>
      <c r="M123" s="152"/>
      <c r="N123" s="152"/>
      <c r="Q123" s="333"/>
      <c r="R123" s="333"/>
      <c r="S123" s="334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333"/>
      <c r="AH123" s="333"/>
      <c r="AI123" s="333"/>
      <c r="AJ123" s="333"/>
      <c r="AK123" s="333"/>
      <c r="AL123" s="333"/>
      <c r="AM123" s="333"/>
      <c r="AN123" s="333"/>
      <c r="AO123" s="333"/>
      <c r="AP123" s="333"/>
      <c r="AQ123" s="333"/>
      <c r="AR123" s="333"/>
      <c r="AS123" s="333"/>
      <c r="AT123" s="333"/>
      <c r="AU123" s="333"/>
      <c r="AV123" s="333"/>
      <c r="AW123" s="333"/>
      <c r="AX123" s="333"/>
      <c r="AY123" s="333"/>
      <c r="AZ123" s="333"/>
      <c r="BA123" s="333"/>
      <c r="BB123" s="333"/>
      <c r="BC123" s="333"/>
      <c r="BD123" s="333"/>
      <c r="BE123" s="333"/>
      <c r="BF123" s="333"/>
      <c r="BG123" s="333"/>
      <c r="BH123" s="333"/>
      <c r="BI123" s="333"/>
      <c r="BJ123" s="333"/>
      <c r="BK123" s="333"/>
      <c r="BL123" s="333"/>
      <c r="BM123" s="333"/>
      <c r="BN123" s="333"/>
      <c r="BO123" s="333"/>
      <c r="BP123" s="333"/>
      <c r="BQ123" s="333"/>
      <c r="BR123" s="333"/>
      <c r="BS123" s="333"/>
      <c r="BT123" s="333"/>
      <c r="BU123" s="333"/>
      <c r="BV123" s="333"/>
      <c r="BW123" s="333"/>
      <c r="BX123" s="333"/>
      <c r="BY123" s="333"/>
      <c r="BZ123" s="333"/>
      <c r="CA123" s="333"/>
      <c r="CB123" s="333"/>
      <c r="CC123" s="333"/>
      <c r="CD123" s="333"/>
      <c r="CE123" s="333"/>
      <c r="CF123" s="333"/>
      <c r="CG123" s="333"/>
      <c r="CH123" s="333"/>
      <c r="CI123" s="333"/>
      <c r="CJ123" s="333"/>
      <c r="CK123" s="333"/>
      <c r="CL123" s="333"/>
      <c r="CM123" s="333"/>
      <c r="CN123" s="333"/>
      <c r="CO123" s="333"/>
      <c r="CP123" s="333"/>
      <c r="CQ123" s="333"/>
      <c r="CR123" s="333"/>
    </row>
    <row r="124" spans="1:96" s="332" customFormat="1" ht="24.95" customHeight="1" x14ac:dyDescent="0.7">
      <c r="A124" s="342"/>
      <c r="B124" s="342"/>
      <c r="C124" s="342"/>
      <c r="D124" s="343"/>
      <c r="E124" s="343"/>
      <c r="F124" s="344"/>
      <c r="G124" s="344"/>
      <c r="H124" s="344"/>
      <c r="I124" s="344"/>
      <c r="J124" s="344"/>
      <c r="K124" s="344"/>
      <c r="L124" s="152"/>
      <c r="M124" s="152"/>
      <c r="N124" s="152"/>
      <c r="Q124" s="333"/>
      <c r="R124" s="333"/>
      <c r="S124" s="334"/>
      <c r="T124" s="333"/>
      <c r="U124" s="333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333"/>
      <c r="AH124" s="333"/>
      <c r="AI124" s="333"/>
      <c r="AJ124" s="333"/>
      <c r="AK124" s="333"/>
      <c r="AL124" s="333"/>
      <c r="AM124" s="333"/>
      <c r="AN124" s="333"/>
      <c r="AO124" s="333"/>
      <c r="AP124" s="333"/>
      <c r="AQ124" s="333"/>
      <c r="AR124" s="333"/>
      <c r="AS124" s="333"/>
      <c r="AT124" s="333"/>
      <c r="AU124" s="333"/>
      <c r="AV124" s="333"/>
      <c r="AW124" s="333"/>
      <c r="AX124" s="333"/>
      <c r="AY124" s="333"/>
      <c r="AZ124" s="333"/>
      <c r="BA124" s="333"/>
      <c r="BB124" s="333"/>
      <c r="BC124" s="333"/>
      <c r="BD124" s="333"/>
      <c r="BE124" s="333"/>
      <c r="BF124" s="333"/>
      <c r="BG124" s="333"/>
      <c r="BH124" s="333"/>
      <c r="BI124" s="333"/>
      <c r="BJ124" s="333"/>
      <c r="BK124" s="333"/>
      <c r="BL124" s="333"/>
      <c r="BM124" s="333"/>
      <c r="BN124" s="333"/>
      <c r="BO124" s="333"/>
      <c r="BP124" s="333"/>
      <c r="BQ124" s="333"/>
      <c r="BR124" s="333"/>
      <c r="BS124" s="333"/>
      <c r="BT124" s="333"/>
      <c r="BU124" s="333"/>
      <c r="BV124" s="333"/>
      <c r="BW124" s="333"/>
      <c r="BX124" s="333"/>
      <c r="BY124" s="333"/>
      <c r="BZ124" s="333"/>
      <c r="CA124" s="333"/>
      <c r="CB124" s="333"/>
      <c r="CC124" s="333"/>
      <c r="CD124" s="333"/>
      <c r="CE124" s="333"/>
      <c r="CF124" s="333"/>
      <c r="CG124" s="333"/>
      <c r="CH124" s="333"/>
      <c r="CI124" s="333"/>
      <c r="CJ124" s="333"/>
      <c r="CK124" s="333"/>
      <c r="CL124" s="333"/>
      <c r="CM124" s="333"/>
      <c r="CN124" s="333"/>
      <c r="CO124" s="333"/>
      <c r="CP124" s="333"/>
      <c r="CQ124" s="333"/>
      <c r="CR124" s="333"/>
    </row>
    <row r="125" spans="1:96" s="332" customFormat="1" ht="24.95" customHeight="1" x14ac:dyDescent="0.7">
      <c r="A125" s="342"/>
      <c r="B125" s="342"/>
      <c r="C125" s="342"/>
      <c r="D125" s="343"/>
      <c r="E125" s="343"/>
      <c r="F125" s="344"/>
      <c r="G125" s="344"/>
      <c r="H125" s="344"/>
      <c r="I125" s="344"/>
      <c r="J125" s="344"/>
      <c r="K125" s="344"/>
      <c r="L125" s="152"/>
      <c r="M125" s="152"/>
      <c r="N125" s="152"/>
      <c r="Q125" s="333"/>
      <c r="R125" s="333"/>
      <c r="S125" s="334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  <c r="AJ125" s="333"/>
      <c r="AK125" s="333"/>
      <c r="AL125" s="333"/>
      <c r="AM125" s="333"/>
      <c r="AN125" s="333"/>
      <c r="AO125" s="333"/>
      <c r="AP125" s="333"/>
      <c r="AQ125" s="333"/>
      <c r="AR125" s="333"/>
      <c r="AS125" s="333"/>
      <c r="AT125" s="333"/>
      <c r="AU125" s="333"/>
      <c r="AV125" s="333"/>
      <c r="AW125" s="333"/>
      <c r="AX125" s="333"/>
      <c r="AY125" s="333"/>
      <c r="AZ125" s="333"/>
      <c r="BA125" s="333"/>
      <c r="BB125" s="333"/>
      <c r="BC125" s="333"/>
      <c r="BD125" s="333"/>
      <c r="BE125" s="333"/>
      <c r="BF125" s="333"/>
      <c r="BG125" s="333"/>
      <c r="BH125" s="333"/>
      <c r="BI125" s="333"/>
      <c r="BJ125" s="333"/>
      <c r="BK125" s="333"/>
      <c r="BL125" s="333"/>
      <c r="BM125" s="333"/>
      <c r="BN125" s="333"/>
      <c r="BO125" s="333"/>
      <c r="BP125" s="333"/>
      <c r="BQ125" s="333"/>
      <c r="BR125" s="333"/>
      <c r="BS125" s="333"/>
      <c r="BT125" s="333"/>
      <c r="BU125" s="333"/>
      <c r="BV125" s="333"/>
      <c r="BW125" s="333"/>
      <c r="BX125" s="333"/>
      <c r="BY125" s="333"/>
      <c r="BZ125" s="333"/>
      <c r="CA125" s="333"/>
      <c r="CB125" s="333"/>
      <c r="CC125" s="333"/>
      <c r="CD125" s="333"/>
      <c r="CE125" s="333"/>
      <c r="CF125" s="333"/>
      <c r="CG125" s="333"/>
      <c r="CH125" s="333"/>
      <c r="CI125" s="333"/>
      <c r="CJ125" s="333"/>
      <c r="CK125" s="333"/>
      <c r="CL125" s="333"/>
      <c r="CM125" s="333"/>
      <c r="CN125" s="333"/>
      <c r="CO125" s="333"/>
      <c r="CP125" s="333"/>
      <c r="CQ125" s="333"/>
      <c r="CR125" s="333"/>
    </row>
    <row r="126" spans="1:96" s="332" customFormat="1" ht="24.95" customHeight="1" x14ac:dyDescent="0.7">
      <c r="A126" s="342"/>
      <c r="B126" s="342"/>
      <c r="C126" s="342"/>
      <c r="D126" s="343"/>
      <c r="E126" s="343"/>
      <c r="F126" s="344"/>
      <c r="G126" s="344"/>
      <c r="H126" s="344"/>
      <c r="I126" s="344"/>
      <c r="J126" s="344"/>
      <c r="K126" s="344"/>
      <c r="L126" s="152"/>
      <c r="M126" s="152"/>
      <c r="N126" s="152"/>
      <c r="Q126" s="333"/>
      <c r="R126" s="333"/>
      <c r="S126" s="334"/>
      <c r="T126" s="333"/>
      <c r="U126" s="333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33"/>
      <c r="AO126" s="333"/>
      <c r="AP126" s="333"/>
      <c r="AQ126" s="333"/>
      <c r="AR126" s="333"/>
      <c r="AS126" s="333"/>
      <c r="AT126" s="333"/>
      <c r="AU126" s="333"/>
      <c r="AV126" s="333"/>
      <c r="AW126" s="333"/>
      <c r="AX126" s="333"/>
      <c r="AY126" s="333"/>
      <c r="AZ126" s="333"/>
      <c r="BA126" s="333"/>
      <c r="BB126" s="333"/>
      <c r="BC126" s="333"/>
      <c r="BD126" s="333"/>
      <c r="BE126" s="333"/>
      <c r="BF126" s="333"/>
      <c r="BG126" s="333"/>
      <c r="BH126" s="333"/>
      <c r="BI126" s="333"/>
      <c r="BJ126" s="333"/>
      <c r="BK126" s="333"/>
      <c r="BL126" s="333"/>
      <c r="BM126" s="333"/>
      <c r="BN126" s="333"/>
      <c r="BO126" s="333"/>
      <c r="BP126" s="333"/>
      <c r="BQ126" s="333"/>
      <c r="BR126" s="333"/>
      <c r="BS126" s="333"/>
      <c r="BT126" s="333"/>
      <c r="BU126" s="333"/>
      <c r="BV126" s="333"/>
      <c r="BW126" s="333"/>
      <c r="BX126" s="333"/>
      <c r="BY126" s="333"/>
      <c r="BZ126" s="333"/>
      <c r="CA126" s="333"/>
      <c r="CB126" s="333"/>
      <c r="CC126" s="333"/>
      <c r="CD126" s="333"/>
      <c r="CE126" s="333"/>
      <c r="CF126" s="333"/>
      <c r="CG126" s="333"/>
      <c r="CH126" s="333"/>
      <c r="CI126" s="333"/>
      <c r="CJ126" s="333"/>
      <c r="CK126" s="333"/>
      <c r="CL126" s="333"/>
      <c r="CM126" s="333"/>
      <c r="CN126" s="333"/>
      <c r="CO126" s="333"/>
      <c r="CP126" s="333"/>
      <c r="CQ126" s="333"/>
      <c r="CR126" s="333"/>
    </row>
    <row r="127" spans="1:96" s="332" customFormat="1" ht="24.95" customHeight="1" x14ac:dyDescent="0.7">
      <c r="A127" s="342"/>
      <c r="B127" s="342"/>
      <c r="C127" s="342"/>
      <c r="D127" s="343"/>
      <c r="E127" s="343"/>
      <c r="F127" s="344"/>
      <c r="G127" s="344"/>
      <c r="H127" s="344"/>
      <c r="I127" s="344"/>
      <c r="J127" s="344"/>
      <c r="K127" s="344"/>
      <c r="L127" s="152"/>
      <c r="M127" s="152"/>
      <c r="N127" s="152"/>
      <c r="Q127" s="333"/>
      <c r="R127" s="333"/>
      <c r="S127" s="334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333"/>
      <c r="AH127" s="333"/>
      <c r="AI127" s="333"/>
      <c r="AJ127" s="333"/>
      <c r="AK127" s="333"/>
      <c r="AL127" s="333"/>
      <c r="AM127" s="333"/>
      <c r="AN127" s="333"/>
      <c r="AO127" s="333"/>
      <c r="AP127" s="333"/>
      <c r="AQ127" s="333"/>
      <c r="AR127" s="333"/>
      <c r="AS127" s="333"/>
      <c r="AT127" s="333"/>
      <c r="AU127" s="333"/>
      <c r="AV127" s="333"/>
      <c r="AW127" s="333"/>
      <c r="AX127" s="333"/>
      <c r="AY127" s="333"/>
      <c r="AZ127" s="333"/>
      <c r="BA127" s="333"/>
      <c r="BB127" s="333"/>
      <c r="BC127" s="333"/>
      <c r="BD127" s="333"/>
      <c r="BE127" s="333"/>
      <c r="BF127" s="333"/>
      <c r="BG127" s="333"/>
      <c r="BH127" s="333"/>
      <c r="BI127" s="333"/>
      <c r="BJ127" s="333"/>
      <c r="BK127" s="333"/>
      <c r="BL127" s="333"/>
      <c r="BM127" s="333"/>
      <c r="BN127" s="333"/>
      <c r="BO127" s="333"/>
      <c r="BP127" s="333"/>
      <c r="BQ127" s="333"/>
      <c r="BR127" s="333"/>
      <c r="BS127" s="333"/>
      <c r="BT127" s="333"/>
      <c r="BU127" s="333"/>
      <c r="BV127" s="333"/>
      <c r="BW127" s="333"/>
      <c r="BX127" s="333"/>
      <c r="BY127" s="333"/>
      <c r="BZ127" s="333"/>
      <c r="CA127" s="333"/>
      <c r="CB127" s="333"/>
      <c r="CC127" s="333"/>
      <c r="CD127" s="333"/>
      <c r="CE127" s="333"/>
      <c r="CF127" s="333"/>
      <c r="CG127" s="333"/>
      <c r="CH127" s="333"/>
      <c r="CI127" s="333"/>
      <c r="CJ127" s="333"/>
      <c r="CK127" s="333"/>
      <c r="CL127" s="333"/>
      <c r="CM127" s="333"/>
      <c r="CN127" s="333"/>
      <c r="CO127" s="333"/>
      <c r="CP127" s="333"/>
      <c r="CQ127" s="333"/>
      <c r="CR127" s="333"/>
    </row>
    <row r="128" spans="1:96" s="332" customFormat="1" ht="24.95" customHeight="1" x14ac:dyDescent="0.7">
      <c r="A128" s="342"/>
      <c r="B128" s="342"/>
      <c r="C128" s="342"/>
      <c r="D128" s="343"/>
      <c r="E128" s="343"/>
      <c r="F128" s="344"/>
      <c r="G128" s="344"/>
      <c r="H128" s="344"/>
      <c r="I128" s="344"/>
      <c r="J128" s="344"/>
      <c r="K128" s="344"/>
      <c r="L128" s="152"/>
      <c r="M128" s="152"/>
      <c r="N128" s="152"/>
      <c r="Q128" s="333"/>
      <c r="R128" s="333"/>
      <c r="S128" s="334"/>
      <c r="T128" s="333"/>
      <c r="U128" s="333"/>
      <c r="V128" s="333"/>
      <c r="W128" s="333"/>
      <c r="X128" s="333"/>
      <c r="Y128" s="333"/>
      <c r="Z128" s="333"/>
      <c r="AA128" s="333"/>
      <c r="AB128" s="333"/>
      <c r="AC128" s="333"/>
      <c r="AD128" s="333"/>
      <c r="AE128" s="333"/>
      <c r="AF128" s="333"/>
      <c r="AG128" s="333"/>
      <c r="AH128" s="333"/>
      <c r="AI128" s="333"/>
      <c r="AJ128" s="333"/>
      <c r="AK128" s="333"/>
      <c r="AL128" s="333"/>
      <c r="AM128" s="333"/>
      <c r="AN128" s="333"/>
      <c r="AO128" s="333"/>
      <c r="AP128" s="333"/>
      <c r="AQ128" s="333"/>
      <c r="AR128" s="333"/>
      <c r="AS128" s="333"/>
      <c r="AT128" s="333"/>
      <c r="AU128" s="333"/>
      <c r="AV128" s="333"/>
      <c r="AW128" s="333"/>
      <c r="AX128" s="333"/>
      <c r="AY128" s="333"/>
      <c r="AZ128" s="333"/>
      <c r="BA128" s="333"/>
      <c r="BB128" s="333"/>
      <c r="BC128" s="333"/>
      <c r="BD128" s="333"/>
      <c r="BE128" s="333"/>
      <c r="BF128" s="333"/>
      <c r="BG128" s="333"/>
      <c r="BH128" s="333"/>
      <c r="BI128" s="333"/>
      <c r="BJ128" s="333"/>
      <c r="BK128" s="333"/>
      <c r="BL128" s="333"/>
      <c r="BM128" s="333"/>
      <c r="BN128" s="333"/>
      <c r="BO128" s="333"/>
      <c r="BP128" s="333"/>
      <c r="BQ128" s="333"/>
      <c r="BR128" s="333"/>
      <c r="BS128" s="333"/>
      <c r="BT128" s="333"/>
      <c r="BU128" s="333"/>
      <c r="BV128" s="333"/>
      <c r="BW128" s="333"/>
      <c r="BX128" s="333"/>
      <c r="BY128" s="333"/>
      <c r="BZ128" s="333"/>
      <c r="CA128" s="333"/>
      <c r="CB128" s="333"/>
      <c r="CC128" s="333"/>
      <c r="CD128" s="333"/>
      <c r="CE128" s="333"/>
      <c r="CF128" s="333"/>
      <c r="CG128" s="333"/>
      <c r="CH128" s="333"/>
      <c r="CI128" s="333"/>
      <c r="CJ128" s="333"/>
      <c r="CK128" s="333"/>
      <c r="CL128" s="333"/>
      <c r="CM128" s="333"/>
      <c r="CN128" s="333"/>
      <c r="CO128" s="333"/>
      <c r="CP128" s="333"/>
      <c r="CQ128" s="333"/>
      <c r="CR128" s="333"/>
    </row>
    <row r="129" spans="1:96" s="332" customFormat="1" ht="24.95" customHeight="1" x14ac:dyDescent="0.7">
      <c r="A129" s="342"/>
      <c r="B129" s="342"/>
      <c r="C129" s="342"/>
      <c r="D129" s="343"/>
      <c r="E129" s="343"/>
      <c r="F129" s="344"/>
      <c r="G129" s="344"/>
      <c r="H129" s="344"/>
      <c r="I129" s="344"/>
      <c r="J129" s="344"/>
      <c r="K129" s="344"/>
      <c r="L129" s="152"/>
      <c r="M129" s="152"/>
      <c r="N129" s="152"/>
      <c r="Q129" s="333"/>
      <c r="R129" s="333"/>
      <c r="S129" s="334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333"/>
      <c r="AH129" s="333"/>
      <c r="AI129" s="333"/>
      <c r="AJ129" s="333"/>
      <c r="AK129" s="333"/>
      <c r="AL129" s="333"/>
      <c r="AM129" s="333"/>
      <c r="AN129" s="333"/>
      <c r="AO129" s="333"/>
      <c r="AP129" s="333"/>
      <c r="AQ129" s="333"/>
      <c r="AR129" s="333"/>
      <c r="AS129" s="333"/>
      <c r="AT129" s="333"/>
      <c r="AU129" s="333"/>
      <c r="AV129" s="333"/>
      <c r="AW129" s="333"/>
      <c r="AX129" s="333"/>
      <c r="AY129" s="333"/>
      <c r="AZ129" s="333"/>
      <c r="BA129" s="333"/>
      <c r="BB129" s="333"/>
      <c r="BC129" s="333"/>
      <c r="BD129" s="333"/>
      <c r="BE129" s="333"/>
      <c r="BF129" s="333"/>
      <c r="BG129" s="333"/>
      <c r="BH129" s="333"/>
      <c r="BI129" s="333"/>
      <c r="BJ129" s="333"/>
      <c r="BK129" s="333"/>
      <c r="BL129" s="333"/>
      <c r="BM129" s="333"/>
      <c r="BN129" s="333"/>
      <c r="BO129" s="333"/>
      <c r="BP129" s="333"/>
      <c r="BQ129" s="333"/>
      <c r="BR129" s="333"/>
      <c r="BS129" s="333"/>
      <c r="BT129" s="333"/>
      <c r="BU129" s="333"/>
      <c r="BV129" s="333"/>
      <c r="BW129" s="333"/>
      <c r="BX129" s="333"/>
      <c r="BY129" s="333"/>
      <c r="BZ129" s="333"/>
      <c r="CA129" s="333"/>
      <c r="CB129" s="333"/>
      <c r="CC129" s="333"/>
      <c r="CD129" s="333"/>
      <c r="CE129" s="333"/>
      <c r="CF129" s="333"/>
      <c r="CG129" s="333"/>
      <c r="CH129" s="333"/>
      <c r="CI129" s="333"/>
      <c r="CJ129" s="333"/>
      <c r="CK129" s="333"/>
      <c r="CL129" s="333"/>
      <c r="CM129" s="333"/>
      <c r="CN129" s="333"/>
      <c r="CO129" s="333"/>
      <c r="CP129" s="333"/>
      <c r="CQ129" s="333"/>
      <c r="CR129" s="333"/>
    </row>
    <row r="130" spans="1:96" s="332" customFormat="1" ht="24.95" customHeight="1" x14ac:dyDescent="0.7">
      <c r="A130" s="342"/>
      <c r="B130" s="342"/>
      <c r="C130" s="342"/>
      <c r="D130" s="343"/>
      <c r="E130" s="343"/>
      <c r="F130" s="344"/>
      <c r="G130" s="344"/>
      <c r="H130" s="344"/>
      <c r="I130" s="344"/>
      <c r="J130" s="344"/>
      <c r="K130" s="344"/>
      <c r="L130" s="152"/>
      <c r="M130" s="152"/>
      <c r="N130" s="152"/>
      <c r="Q130" s="333"/>
      <c r="R130" s="333"/>
      <c r="S130" s="334"/>
      <c r="T130" s="333"/>
      <c r="U130" s="333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3"/>
      <c r="AJ130" s="333"/>
      <c r="AK130" s="333"/>
      <c r="AL130" s="333"/>
      <c r="AM130" s="333"/>
      <c r="AN130" s="333"/>
      <c r="AO130" s="333"/>
      <c r="AP130" s="333"/>
      <c r="AQ130" s="333"/>
      <c r="AR130" s="333"/>
      <c r="AS130" s="333"/>
      <c r="AT130" s="333"/>
      <c r="AU130" s="333"/>
      <c r="AV130" s="333"/>
      <c r="AW130" s="333"/>
      <c r="AX130" s="333"/>
      <c r="AY130" s="333"/>
      <c r="AZ130" s="333"/>
      <c r="BA130" s="333"/>
      <c r="BB130" s="333"/>
      <c r="BC130" s="333"/>
      <c r="BD130" s="333"/>
      <c r="BE130" s="333"/>
      <c r="BF130" s="333"/>
      <c r="BG130" s="333"/>
      <c r="BH130" s="333"/>
      <c r="BI130" s="333"/>
      <c r="BJ130" s="333"/>
      <c r="BK130" s="333"/>
      <c r="BL130" s="333"/>
      <c r="BM130" s="333"/>
      <c r="BN130" s="333"/>
      <c r="BO130" s="333"/>
      <c r="BP130" s="333"/>
      <c r="BQ130" s="333"/>
      <c r="BR130" s="333"/>
      <c r="BS130" s="333"/>
      <c r="BT130" s="333"/>
      <c r="BU130" s="333"/>
      <c r="BV130" s="333"/>
      <c r="BW130" s="333"/>
      <c r="BX130" s="333"/>
      <c r="BY130" s="333"/>
      <c r="BZ130" s="333"/>
      <c r="CA130" s="333"/>
      <c r="CB130" s="333"/>
      <c r="CC130" s="333"/>
      <c r="CD130" s="333"/>
      <c r="CE130" s="333"/>
      <c r="CF130" s="333"/>
      <c r="CG130" s="333"/>
      <c r="CH130" s="333"/>
      <c r="CI130" s="333"/>
      <c r="CJ130" s="333"/>
      <c r="CK130" s="333"/>
      <c r="CL130" s="333"/>
      <c r="CM130" s="333"/>
      <c r="CN130" s="333"/>
      <c r="CO130" s="333"/>
      <c r="CP130" s="333"/>
      <c r="CQ130" s="333"/>
      <c r="CR130" s="333"/>
    </row>
    <row r="131" spans="1:96" s="332" customFormat="1" ht="24.95" customHeight="1" x14ac:dyDescent="0.7">
      <c r="A131" s="342"/>
      <c r="B131" s="342"/>
      <c r="C131" s="342"/>
      <c r="D131" s="343"/>
      <c r="E131" s="343"/>
      <c r="F131" s="344"/>
      <c r="G131" s="344"/>
      <c r="H131" s="344"/>
      <c r="I131" s="344"/>
      <c r="J131" s="344"/>
      <c r="K131" s="344"/>
      <c r="L131" s="152"/>
      <c r="M131" s="152"/>
      <c r="N131" s="152"/>
      <c r="Q131" s="333"/>
      <c r="R131" s="333"/>
      <c r="S131" s="334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333"/>
      <c r="AF131" s="333"/>
      <c r="AG131" s="333"/>
      <c r="AH131" s="333"/>
      <c r="AI131" s="333"/>
      <c r="AJ131" s="333"/>
      <c r="AK131" s="333"/>
      <c r="AL131" s="333"/>
      <c r="AM131" s="333"/>
      <c r="AN131" s="333"/>
      <c r="AO131" s="333"/>
      <c r="AP131" s="333"/>
      <c r="AQ131" s="333"/>
      <c r="AR131" s="333"/>
      <c r="AS131" s="333"/>
      <c r="AT131" s="333"/>
      <c r="AU131" s="333"/>
      <c r="AV131" s="333"/>
      <c r="AW131" s="333"/>
      <c r="AX131" s="333"/>
      <c r="AY131" s="333"/>
      <c r="AZ131" s="333"/>
      <c r="BA131" s="333"/>
      <c r="BB131" s="333"/>
      <c r="BC131" s="333"/>
      <c r="BD131" s="333"/>
      <c r="BE131" s="333"/>
      <c r="BF131" s="333"/>
      <c r="BG131" s="333"/>
      <c r="BH131" s="333"/>
      <c r="BI131" s="333"/>
      <c r="BJ131" s="333"/>
      <c r="BK131" s="333"/>
      <c r="BL131" s="333"/>
      <c r="BM131" s="333"/>
      <c r="BN131" s="333"/>
      <c r="BO131" s="333"/>
      <c r="BP131" s="333"/>
      <c r="BQ131" s="333"/>
      <c r="BR131" s="333"/>
      <c r="BS131" s="333"/>
      <c r="BT131" s="333"/>
      <c r="BU131" s="333"/>
      <c r="BV131" s="333"/>
      <c r="BW131" s="333"/>
      <c r="BX131" s="333"/>
      <c r="BY131" s="333"/>
      <c r="BZ131" s="333"/>
      <c r="CA131" s="333"/>
      <c r="CB131" s="333"/>
      <c r="CC131" s="333"/>
      <c r="CD131" s="333"/>
      <c r="CE131" s="333"/>
      <c r="CF131" s="333"/>
      <c r="CG131" s="333"/>
      <c r="CH131" s="333"/>
      <c r="CI131" s="333"/>
      <c r="CJ131" s="333"/>
      <c r="CK131" s="333"/>
      <c r="CL131" s="333"/>
      <c r="CM131" s="333"/>
      <c r="CN131" s="333"/>
      <c r="CO131" s="333"/>
      <c r="CP131" s="333"/>
      <c r="CQ131" s="333"/>
      <c r="CR131" s="333"/>
    </row>
    <row r="132" spans="1:96" s="332" customFormat="1" ht="24.95" customHeight="1" x14ac:dyDescent="0.7">
      <c r="A132" s="342"/>
      <c r="B132" s="342"/>
      <c r="C132" s="342"/>
      <c r="D132" s="343"/>
      <c r="E132" s="343"/>
      <c r="F132" s="344"/>
      <c r="G132" s="344"/>
      <c r="H132" s="344"/>
      <c r="I132" s="344"/>
      <c r="J132" s="344"/>
      <c r="K132" s="344"/>
      <c r="L132" s="152"/>
      <c r="M132" s="152"/>
      <c r="N132" s="152"/>
      <c r="Q132" s="333"/>
      <c r="R132" s="333"/>
      <c r="S132" s="334"/>
      <c r="T132" s="333"/>
      <c r="U132" s="333"/>
      <c r="V132" s="333"/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3"/>
      <c r="AP132" s="333"/>
      <c r="AQ132" s="333"/>
      <c r="AR132" s="333"/>
      <c r="AS132" s="333"/>
      <c r="AT132" s="333"/>
      <c r="AU132" s="333"/>
      <c r="AV132" s="333"/>
      <c r="AW132" s="333"/>
      <c r="AX132" s="333"/>
      <c r="AY132" s="333"/>
      <c r="AZ132" s="333"/>
      <c r="BA132" s="333"/>
      <c r="BB132" s="333"/>
      <c r="BC132" s="333"/>
      <c r="BD132" s="333"/>
      <c r="BE132" s="333"/>
      <c r="BF132" s="333"/>
      <c r="BG132" s="333"/>
      <c r="BH132" s="333"/>
      <c r="BI132" s="333"/>
      <c r="BJ132" s="333"/>
      <c r="BK132" s="333"/>
      <c r="BL132" s="333"/>
      <c r="BM132" s="333"/>
      <c r="BN132" s="333"/>
      <c r="BO132" s="333"/>
      <c r="BP132" s="333"/>
      <c r="BQ132" s="333"/>
      <c r="BR132" s="333"/>
      <c r="BS132" s="333"/>
      <c r="BT132" s="333"/>
      <c r="BU132" s="333"/>
      <c r="BV132" s="333"/>
      <c r="BW132" s="333"/>
      <c r="BX132" s="333"/>
      <c r="BY132" s="333"/>
      <c r="BZ132" s="333"/>
      <c r="CA132" s="333"/>
      <c r="CB132" s="333"/>
      <c r="CC132" s="333"/>
      <c r="CD132" s="333"/>
      <c r="CE132" s="333"/>
      <c r="CF132" s="333"/>
      <c r="CG132" s="333"/>
      <c r="CH132" s="333"/>
      <c r="CI132" s="333"/>
      <c r="CJ132" s="333"/>
      <c r="CK132" s="333"/>
      <c r="CL132" s="333"/>
      <c r="CM132" s="333"/>
      <c r="CN132" s="333"/>
      <c r="CO132" s="333"/>
      <c r="CP132" s="333"/>
      <c r="CQ132" s="333"/>
      <c r="CR132" s="333"/>
    </row>
    <row r="133" spans="1:96" s="332" customFormat="1" x14ac:dyDescent="0.7">
      <c r="A133" s="342"/>
      <c r="B133" s="342"/>
      <c r="C133" s="342"/>
      <c r="D133" s="343"/>
      <c r="E133" s="343"/>
      <c r="F133" s="344"/>
      <c r="G133" s="344"/>
      <c r="H133" s="344"/>
      <c r="I133" s="344"/>
      <c r="J133" s="344"/>
      <c r="K133" s="344"/>
      <c r="L133" s="152"/>
      <c r="M133" s="152"/>
      <c r="N133" s="152"/>
      <c r="Q133" s="333"/>
      <c r="R133" s="333"/>
      <c r="S133" s="334"/>
      <c r="T133" s="333"/>
      <c r="U133" s="333"/>
      <c r="V133" s="333"/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3"/>
      <c r="AM133" s="333"/>
      <c r="AN133" s="333"/>
      <c r="AO133" s="333"/>
      <c r="AP133" s="333"/>
      <c r="AQ133" s="333"/>
      <c r="AR133" s="333"/>
      <c r="AS133" s="333"/>
      <c r="AT133" s="333"/>
      <c r="AU133" s="333"/>
      <c r="AV133" s="333"/>
      <c r="AW133" s="333"/>
      <c r="AX133" s="333"/>
      <c r="AY133" s="333"/>
      <c r="AZ133" s="333"/>
      <c r="BA133" s="333"/>
      <c r="BB133" s="333"/>
      <c r="BC133" s="333"/>
      <c r="BD133" s="333"/>
      <c r="BE133" s="333"/>
      <c r="BF133" s="333"/>
      <c r="BG133" s="333"/>
      <c r="BH133" s="333"/>
      <c r="BI133" s="333"/>
      <c r="BJ133" s="333"/>
      <c r="BK133" s="333"/>
      <c r="BL133" s="333"/>
      <c r="BM133" s="333"/>
      <c r="BN133" s="333"/>
      <c r="BO133" s="333"/>
      <c r="BP133" s="333"/>
      <c r="BQ133" s="333"/>
      <c r="BR133" s="333"/>
      <c r="BS133" s="333"/>
      <c r="BT133" s="333"/>
      <c r="BU133" s="333"/>
      <c r="BV133" s="333"/>
      <c r="BW133" s="333"/>
      <c r="BX133" s="333"/>
      <c r="BY133" s="333"/>
      <c r="BZ133" s="333"/>
      <c r="CA133" s="333"/>
      <c r="CB133" s="333"/>
      <c r="CC133" s="333"/>
      <c r="CD133" s="333"/>
      <c r="CE133" s="333"/>
      <c r="CF133" s="333"/>
      <c r="CG133" s="333"/>
      <c r="CH133" s="333"/>
      <c r="CI133" s="333"/>
      <c r="CJ133" s="333"/>
      <c r="CK133" s="333"/>
      <c r="CL133" s="333"/>
      <c r="CM133" s="333"/>
      <c r="CN133" s="333"/>
      <c r="CO133" s="333"/>
      <c r="CP133" s="333"/>
      <c r="CQ133" s="333"/>
      <c r="CR133" s="333"/>
    </row>
    <row r="134" spans="1:96" s="332" customFormat="1" x14ac:dyDescent="0.7">
      <c r="A134" s="342"/>
      <c r="B134" s="342"/>
      <c r="C134" s="342"/>
      <c r="D134" s="343"/>
      <c r="E134" s="343"/>
      <c r="F134" s="344"/>
      <c r="G134" s="344"/>
      <c r="H134" s="344"/>
      <c r="I134" s="344"/>
      <c r="J134" s="344"/>
      <c r="K134" s="344"/>
      <c r="L134" s="152"/>
      <c r="M134" s="152"/>
      <c r="N134" s="152"/>
      <c r="Q134" s="333"/>
      <c r="R134" s="333"/>
      <c r="S134" s="334"/>
      <c r="T134" s="333"/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333"/>
      <c r="AI134" s="333"/>
      <c r="AJ134" s="333"/>
      <c r="AK134" s="333"/>
      <c r="AL134" s="333"/>
      <c r="AM134" s="333"/>
      <c r="AN134" s="333"/>
      <c r="AO134" s="333"/>
      <c r="AP134" s="333"/>
      <c r="AQ134" s="333"/>
      <c r="AR134" s="333"/>
      <c r="AS134" s="333"/>
      <c r="AT134" s="333"/>
      <c r="AU134" s="333"/>
      <c r="AV134" s="333"/>
      <c r="AW134" s="333"/>
      <c r="AX134" s="333"/>
      <c r="AY134" s="333"/>
      <c r="AZ134" s="333"/>
      <c r="BA134" s="333"/>
      <c r="BB134" s="333"/>
      <c r="BC134" s="333"/>
      <c r="BD134" s="333"/>
      <c r="BE134" s="333"/>
      <c r="BF134" s="333"/>
      <c r="BG134" s="333"/>
      <c r="BH134" s="333"/>
      <c r="BI134" s="333"/>
      <c r="BJ134" s="333"/>
      <c r="BK134" s="333"/>
      <c r="BL134" s="333"/>
      <c r="BM134" s="333"/>
      <c r="BN134" s="333"/>
      <c r="BO134" s="333"/>
      <c r="BP134" s="333"/>
      <c r="BQ134" s="333"/>
      <c r="BR134" s="333"/>
      <c r="BS134" s="333"/>
      <c r="BT134" s="333"/>
      <c r="BU134" s="333"/>
      <c r="BV134" s="333"/>
      <c r="BW134" s="333"/>
      <c r="BX134" s="333"/>
      <c r="BY134" s="333"/>
      <c r="BZ134" s="333"/>
      <c r="CA134" s="333"/>
      <c r="CB134" s="333"/>
      <c r="CC134" s="333"/>
      <c r="CD134" s="333"/>
      <c r="CE134" s="333"/>
      <c r="CF134" s="333"/>
      <c r="CG134" s="333"/>
      <c r="CH134" s="333"/>
      <c r="CI134" s="333"/>
      <c r="CJ134" s="333"/>
      <c r="CK134" s="333"/>
      <c r="CL134" s="333"/>
      <c r="CM134" s="333"/>
      <c r="CN134" s="333"/>
      <c r="CO134" s="333"/>
      <c r="CP134" s="333"/>
      <c r="CQ134" s="333"/>
      <c r="CR134" s="333"/>
    </row>
    <row r="135" spans="1:96" s="332" customFormat="1" x14ac:dyDescent="0.7">
      <c r="A135" s="342"/>
      <c r="B135" s="342"/>
      <c r="C135" s="342"/>
      <c r="D135" s="343"/>
      <c r="E135" s="343"/>
      <c r="F135" s="344"/>
      <c r="G135" s="344"/>
      <c r="H135" s="344"/>
      <c r="I135" s="344"/>
      <c r="J135" s="344"/>
      <c r="K135" s="344"/>
      <c r="L135" s="152"/>
      <c r="M135" s="152"/>
      <c r="N135" s="152"/>
      <c r="Q135" s="333"/>
      <c r="R135" s="333"/>
      <c r="S135" s="334"/>
      <c r="T135" s="333"/>
      <c r="U135" s="333"/>
      <c r="V135" s="333"/>
      <c r="W135" s="333"/>
      <c r="X135" s="333"/>
      <c r="Y135" s="333"/>
      <c r="Z135" s="333"/>
      <c r="AA135" s="333"/>
      <c r="AB135" s="333"/>
      <c r="AC135" s="333"/>
      <c r="AD135" s="333"/>
      <c r="AE135" s="333"/>
      <c r="AF135" s="333"/>
      <c r="AG135" s="333"/>
      <c r="AH135" s="333"/>
      <c r="AI135" s="333"/>
      <c r="AJ135" s="333"/>
      <c r="AK135" s="333"/>
      <c r="AL135" s="333"/>
      <c r="AM135" s="333"/>
      <c r="AN135" s="333"/>
      <c r="AO135" s="333"/>
      <c r="AP135" s="333"/>
      <c r="AQ135" s="333"/>
      <c r="AR135" s="333"/>
      <c r="AS135" s="333"/>
      <c r="AT135" s="333"/>
      <c r="AU135" s="333"/>
      <c r="AV135" s="333"/>
      <c r="AW135" s="333"/>
      <c r="AX135" s="333"/>
      <c r="AY135" s="333"/>
      <c r="AZ135" s="333"/>
      <c r="BA135" s="333"/>
      <c r="BB135" s="333"/>
      <c r="BC135" s="333"/>
      <c r="BD135" s="333"/>
      <c r="BE135" s="333"/>
      <c r="BF135" s="333"/>
      <c r="BG135" s="333"/>
      <c r="BH135" s="333"/>
      <c r="BI135" s="333"/>
      <c r="BJ135" s="333"/>
      <c r="BK135" s="333"/>
      <c r="BL135" s="333"/>
      <c r="BM135" s="333"/>
      <c r="BN135" s="333"/>
      <c r="BO135" s="333"/>
      <c r="BP135" s="333"/>
      <c r="BQ135" s="333"/>
      <c r="BR135" s="333"/>
      <c r="BS135" s="333"/>
      <c r="BT135" s="333"/>
      <c r="BU135" s="333"/>
      <c r="BV135" s="333"/>
      <c r="BW135" s="333"/>
      <c r="BX135" s="333"/>
      <c r="BY135" s="333"/>
      <c r="BZ135" s="333"/>
      <c r="CA135" s="333"/>
      <c r="CB135" s="333"/>
      <c r="CC135" s="333"/>
      <c r="CD135" s="333"/>
      <c r="CE135" s="333"/>
      <c r="CF135" s="333"/>
      <c r="CG135" s="333"/>
      <c r="CH135" s="333"/>
      <c r="CI135" s="333"/>
      <c r="CJ135" s="333"/>
      <c r="CK135" s="333"/>
      <c r="CL135" s="333"/>
      <c r="CM135" s="333"/>
      <c r="CN135" s="333"/>
      <c r="CO135" s="333"/>
      <c r="CP135" s="333"/>
      <c r="CQ135" s="333"/>
      <c r="CR135" s="333"/>
    </row>
    <row r="136" spans="1:96" s="332" customFormat="1" x14ac:dyDescent="0.7">
      <c r="A136" s="342"/>
      <c r="B136" s="342"/>
      <c r="C136" s="342"/>
      <c r="D136" s="343"/>
      <c r="E136" s="343"/>
      <c r="F136" s="344"/>
      <c r="G136" s="344"/>
      <c r="H136" s="344"/>
      <c r="I136" s="344"/>
      <c r="J136" s="344"/>
      <c r="K136" s="344"/>
      <c r="L136" s="152"/>
      <c r="M136" s="152"/>
      <c r="N136" s="152"/>
      <c r="Q136" s="333"/>
      <c r="R136" s="333"/>
      <c r="S136" s="334"/>
      <c r="T136" s="333"/>
      <c r="U136" s="333"/>
      <c r="V136" s="33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333"/>
      <c r="AH136" s="333"/>
      <c r="AI136" s="333"/>
      <c r="AJ136" s="333"/>
      <c r="AK136" s="333"/>
      <c r="AL136" s="333"/>
      <c r="AM136" s="333"/>
      <c r="AN136" s="333"/>
      <c r="AO136" s="333"/>
      <c r="AP136" s="333"/>
      <c r="AQ136" s="333"/>
      <c r="AR136" s="333"/>
      <c r="AS136" s="333"/>
      <c r="AT136" s="333"/>
      <c r="AU136" s="333"/>
      <c r="AV136" s="333"/>
      <c r="AW136" s="333"/>
      <c r="AX136" s="333"/>
      <c r="AY136" s="333"/>
      <c r="AZ136" s="333"/>
      <c r="BA136" s="333"/>
      <c r="BB136" s="333"/>
      <c r="BC136" s="333"/>
      <c r="BD136" s="333"/>
      <c r="BE136" s="333"/>
      <c r="BF136" s="333"/>
      <c r="BG136" s="333"/>
      <c r="BH136" s="333"/>
      <c r="BI136" s="333"/>
      <c r="BJ136" s="333"/>
      <c r="BK136" s="333"/>
      <c r="BL136" s="333"/>
      <c r="BM136" s="333"/>
      <c r="BN136" s="333"/>
      <c r="BO136" s="333"/>
      <c r="BP136" s="333"/>
      <c r="BQ136" s="333"/>
      <c r="BR136" s="333"/>
      <c r="BS136" s="333"/>
      <c r="BT136" s="333"/>
      <c r="BU136" s="333"/>
      <c r="BV136" s="333"/>
      <c r="BW136" s="333"/>
      <c r="BX136" s="333"/>
      <c r="BY136" s="333"/>
      <c r="BZ136" s="333"/>
      <c r="CA136" s="333"/>
      <c r="CB136" s="333"/>
      <c r="CC136" s="333"/>
      <c r="CD136" s="333"/>
      <c r="CE136" s="333"/>
      <c r="CF136" s="333"/>
      <c r="CG136" s="333"/>
      <c r="CH136" s="333"/>
      <c r="CI136" s="333"/>
      <c r="CJ136" s="333"/>
      <c r="CK136" s="333"/>
      <c r="CL136" s="333"/>
      <c r="CM136" s="333"/>
      <c r="CN136" s="333"/>
      <c r="CO136" s="333"/>
      <c r="CP136" s="333"/>
      <c r="CQ136" s="333"/>
      <c r="CR136" s="333"/>
    </row>
    <row r="137" spans="1:96" s="332" customFormat="1" x14ac:dyDescent="0.7">
      <c r="A137" s="342"/>
      <c r="B137" s="342"/>
      <c r="C137" s="342"/>
      <c r="D137" s="343"/>
      <c r="E137" s="343"/>
      <c r="F137" s="344"/>
      <c r="G137" s="344"/>
      <c r="H137" s="344"/>
      <c r="I137" s="344"/>
      <c r="J137" s="344"/>
      <c r="K137" s="344"/>
      <c r="L137" s="152"/>
      <c r="M137" s="152"/>
      <c r="N137" s="152"/>
      <c r="Q137" s="333"/>
      <c r="R137" s="333"/>
      <c r="S137" s="334"/>
      <c r="T137" s="333"/>
      <c r="U137" s="333"/>
      <c r="V137" s="333"/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333"/>
      <c r="AH137" s="333"/>
      <c r="AI137" s="333"/>
      <c r="AJ137" s="333"/>
      <c r="AK137" s="333"/>
      <c r="AL137" s="333"/>
      <c r="AM137" s="333"/>
      <c r="AN137" s="333"/>
      <c r="AO137" s="333"/>
      <c r="AP137" s="333"/>
      <c r="AQ137" s="333"/>
      <c r="AR137" s="333"/>
      <c r="AS137" s="333"/>
      <c r="AT137" s="333"/>
      <c r="AU137" s="333"/>
      <c r="AV137" s="333"/>
      <c r="AW137" s="333"/>
      <c r="AX137" s="333"/>
      <c r="AY137" s="333"/>
      <c r="AZ137" s="333"/>
      <c r="BA137" s="333"/>
      <c r="BB137" s="333"/>
      <c r="BC137" s="333"/>
      <c r="BD137" s="333"/>
      <c r="BE137" s="333"/>
      <c r="BF137" s="333"/>
      <c r="BG137" s="333"/>
      <c r="BH137" s="333"/>
      <c r="BI137" s="333"/>
      <c r="BJ137" s="333"/>
      <c r="BK137" s="333"/>
      <c r="BL137" s="333"/>
      <c r="BM137" s="333"/>
      <c r="BN137" s="333"/>
      <c r="BO137" s="333"/>
      <c r="BP137" s="333"/>
      <c r="BQ137" s="333"/>
      <c r="BR137" s="333"/>
      <c r="BS137" s="333"/>
      <c r="BT137" s="333"/>
      <c r="BU137" s="333"/>
      <c r="BV137" s="333"/>
      <c r="BW137" s="333"/>
      <c r="BX137" s="333"/>
      <c r="BY137" s="333"/>
      <c r="BZ137" s="333"/>
      <c r="CA137" s="333"/>
      <c r="CB137" s="333"/>
      <c r="CC137" s="333"/>
      <c r="CD137" s="333"/>
      <c r="CE137" s="333"/>
      <c r="CF137" s="333"/>
      <c r="CG137" s="333"/>
      <c r="CH137" s="333"/>
      <c r="CI137" s="333"/>
      <c r="CJ137" s="333"/>
      <c r="CK137" s="333"/>
      <c r="CL137" s="333"/>
      <c r="CM137" s="333"/>
      <c r="CN137" s="333"/>
      <c r="CO137" s="333"/>
      <c r="CP137" s="333"/>
      <c r="CQ137" s="333"/>
      <c r="CR137" s="333"/>
    </row>
    <row r="138" spans="1:96" s="332" customFormat="1" x14ac:dyDescent="0.7">
      <c r="A138" s="342"/>
      <c r="B138" s="342"/>
      <c r="C138" s="342"/>
      <c r="D138" s="343"/>
      <c r="E138" s="343"/>
      <c r="F138" s="344"/>
      <c r="G138" s="344"/>
      <c r="H138" s="344"/>
      <c r="I138" s="344"/>
      <c r="J138" s="344"/>
      <c r="K138" s="344"/>
      <c r="L138" s="152"/>
      <c r="M138" s="152"/>
      <c r="N138" s="152"/>
      <c r="Q138" s="333"/>
      <c r="R138" s="333"/>
      <c r="S138" s="334"/>
      <c r="T138" s="333"/>
      <c r="U138" s="333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  <c r="AJ138" s="333"/>
      <c r="AK138" s="333"/>
      <c r="AL138" s="333"/>
      <c r="AM138" s="333"/>
      <c r="AN138" s="333"/>
      <c r="AO138" s="333"/>
      <c r="AP138" s="333"/>
      <c r="AQ138" s="333"/>
      <c r="AR138" s="333"/>
      <c r="AS138" s="333"/>
      <c r="AT138" s="333"/>
      <c r="AU138" s="333"/>
      <c r="AV138" s="333"/>
      <c r="AW138" s="333"/>
      <c r="AX138" s="333"/>
      <c r="AY138" s="333"/>
      <c r="AZ138" s="333"/>
      <c r="BA138" s="333"/>
      <c r="BB138" s="333"/>
      <c r="BC138" s="333"/>
      <c r="BD138" s="333"/>
      <c r="BE138" s="333"/>
      <c r="BF138" s="333"/>
      <c r="BG138" s="333"/>
      <c r="BH138" s="333"/>
      <c r="BI138" s="333"/>
      <c r="BJ138" s="333"/>
      <c r="BK138" s="333"/>
      <c r="BL138" s="333"/>
      <c r="BM138" s="333"/>
      <c r="BN138" s="333"/>
      <c r="BO138" s="333"/>
      <c r="BP138" s="333"/>
      <c r="BQ138" s="333"/>
      <c r="BR138" s="333"/>
      <c r="BS138" s="333"/>
      <c r="BT138" s="333"/>
      <c r="BU138" s="333"/>
      <c r="BV138" s="333"/>
      <c r="BW138" s="333"/>
      <c r="BX138" s="333"/>
      <c r="BY138" s="333"/>
      <c r="BZ138" s="333"/>
      <c r="CA138" s="333"/>
      <c r="CB138" s="333"/>
      <c r="CC138" s="333"/>
      <c r="CD138" s="333"/>
      <c r="CE138" s="333"/>
      <c r="CF138" s="333"/>
      <c r="CG138" s="333"/>
      <c r="CH138" s="333"/>
      <c r="CI138" s="333"/>
      <c r="CJ138" s="333"/>
      <c r="CK138" s="333"/>
      <c r="CL138" s="333"/>
      <c r="CM138" s="333"/>
      <c r="CN138" s="333"/>
      <c r="CO138" s="333"/>
      <c r="CP138" s="333"/>
      <c r="CQ138" s="333"/>
      <c r="CR138" s="333"/>
    </row>
    <row r="139" spans="1:96" s="332" customFormat="1" x14ac:dyDescent="0.7">
      <c r="A139" s="342"/>
      <c r="B139" s="342"/>
      <c r="C139" s="342"/>
      <c r="D139" s="343"/>
      <c r="E139" s="343"/>
      <c r="F139" s="344"/>
      <c r="G139" s="344"/>
      <c r="H139" s="344"/>
      <c r="I139" s="344"/>
      <c r="J139" s="344"/>
      <c r="K139" s="344"/>
      <c r="L139" s="152"/>
      <c r="M139" s="152"/>
      <c r="N139" s="152"/>
      <c r="Q139" s="333"/>
      <c r="R139" s="333"/>
      <c r="S139" s="334"/>
      <c r="T139" s="333"/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  <c r="AJ139" s="333"/>
      <c r="AK139" s="333"/>
      <c r="AL139" s="333"/>
      <c r="AM139" s="333"/>
      <c r="AN139" s="333"/>
      <c r="AO139" s="333"/>
      <c r="AP139" s="333"/>
      <c r="AQ139" s="333"/>
      <c r="AR139" s="333"/>
      <c r="AS139" s="333"/>
      <c r="AT139" s="333"/>
      <c r="AU139" s="333"/>
      <c r="AV139" s="333"/>
      <c r="AW139" s="333"/>
      <c r="AX139" s="333"/>
      <c r="AY139" s="333"/>
      <c r="AZ139" s="333"/>
      <c r="BA139" s="333"/>
      <c r="BB139" s="333"/>
      <c r="BC139" s="333"/>
      <c r="BD139" s="333"/>
      <c r="BE139" s="333"/>
      <c r="BF139" s="333"/>
      <c r="BG139" s="333"/>
      <c r="BH139" s="333"/>
      <c r="BI139" s="333"/>
      <c r="BJ139" s="333"/>
      <c r="BK139" s="333"/>
      <c r="BL139" s="333"/>
      <c r="BM139" s="333"/>
      <c r="BN139" s="333"/>
      <c r="BO139" s="333"/>
      <c r="BP139" s="333"/>
      <c r="BQ139" s="333"/>
      <c r="BR139" s="333"/>
      <c r="BS139" s="333"/>
      <c r="BT139" s="333"/>
      <c r="BU139" s="333"/>
      <c r="BV139" s="333"/>
      <c r="BW139" s="333"/>
      <c r="BX139" s="333"/>
      <c r="BY139" s="333"/>
      <c r="BZ139" s="333"/>
      <c r="CA139" s="333"/>
      <c r="CB139" s="333"/>
      <c r="CC139" s="333"/>
      <c r="CD139" s="333"/>
      <c r="CE139" s="333"/>
      <c r="CF139" s="333"/>
      <c r="CG139" s="333"/>
      <c r="CH139" s="333"/>
      <c r="CI139" s="333"/>
      <c r="CJ139" s="333"/>
      <c r="CK139" s="333"/>
      <c r="CL139" s="333"/>
      <c r="CM139" s="333"/>
      <c r="CN139" s="333"/>
      <c r="CO139" s="333"/>
      <c r="CP139" s="333"/>
      <c r="CQ139" s="333"/>
      <c r="CR139" s="333"/>
    </row>
    <row r="140" spans="1:96" s="332" customFormat="1" x14ac:dyDescent="0.7">
      <c r="A140" s="342"/>
      <c r="B140" s="342"/>
      <c r="C140" s="342"/>
      <c r="D140" s="343"/>
      <c r="E140" s="343"/>
      <c r="F140" s="344"/>
      <c r="G140" s="344"/>
      <c r="H140" s="344"/>
      <c r="I140" s="344"/>
      <c r="J140" s="344"/>
      <c r="K140" s="344"/>
      <c r="L140" s="152"/>
      <c r="M140" s="152"/>
      <c r="N140" s="152"/>
      <c r="Q140" s="333"/>
      <c r="R140" s="333"/>
      <c r="S140" s="334"/>
      <c r="T140" s="333"/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  <c r="AM140" s="333"/>
      <c r="AN140" s="333"/>
      <c r="AO140" s="333"/>
      <c r="AP140" s="333"/>
      <c r="AQ140" s="333"/>
      <c r="AR140" s="333"/>
      <c r="AS140" s="333"/>
      <c r="AT140" s="333"/>
      <c r="AU140" s="333"/>
      <c r="AV140" s="333"/>
      <c r="AW140" s="333"/>
      <c r="AX140" s="333"/>
      <c r="AY140" s="333"/>
      <c r="AZ140" s="333"/>
      <c r="BA140" s="333"/>
      <c r="BB140" s="333"/>
      <c r="BC140" s="333"/>
      <c r="BD140" s="333"/>
      <c r="BE140" s="333"/>
      <c r="BF140" s="333"/>
      <c r="BG140" s="333"/>
      <c r="BH140" s="333"/>
      <c r="BI140" s="333"/>
      <c r="BJ140" s="333"/>
      <c r="BK140" s="333"/>
      <c r="BL140" s="333"/>
      <c r="BM140" s="333"/>
      <c r="BN140" s="333"/>
      <c r="BO140" s="333"/>
      <c r="BP140" s="333"/>
      <c r="BQ140" s="333"/>
      <c r="BR140" s="333"/>
      <c r="BS140" s="333"/>
      <c r="BT140" s="333"/>
      <c r="BU140" s="333"/>
      <c r="BV140" s="333"/>
      <c r="BW140" s="333"/>
      <c r="BX140" s="333"/>
      <c r="BY140" s="333"/>
      <c r="BZ140" s="333"/>
      <c r="CA140" s="333"/>
      <c r="CB140" s="333"/>
      <c r="CC140" s="333"/>
      <c r="CD140" s="333"/>
      <c r="CE140" s="333"/>
      <c r="CF140" s="333"/>
      <c r="CG140" s="333"/>
      <c r="CH140" s="333"/>
      <c r="CI140" s="333"/>
      <c r="CJ140" s="333"/>
      <c r="CK140" s="333"/>
      <c r="CL140" s="333"/>
      <c r="CM140" s="333"/>
      <c r="CN140" s="333"/>
      <c r="CO140" s="333"/>
      <c r="CP140" s="333"/>
      <c r="CQ140" s="333"/>
      <c r="CR140" s="333"/>
    </row>
    <row r="141" spans="1:96" s="332" customFormat="1" x14ac:dyDescent="0.7">
      <c r="A141" s="342"/>
      <c r="B141" s="342"/>
      <c r="C141" s="342"/>
      <c r="D141" s="343"/>
      <c r="E141" s="343"/>
      <c r="F141" s="344"/>
      <c r="G141" s="344"/>
      <c r="H141" s="344"/>
      <c r="I141" s="344"/>
      <c r="J141" s="344"/>
      <c r="K141" s="344"/>
      <c r="L141" s="152"/>
      <c r="M141" s="152"/>
      <c r="N141" s="152"/>
      <c r="Q141" s="333"/>
      <c r="R141" s="333"/>
      <c r="S141" s="334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3"/>
      <c r="AJ141" s="333"/>
      <c r="AK141" s="333"/>
      <c r="AL141" s="333"/>
      <c r="AM141" s="333"/>
      <c r="AN141" s="333"/>
      <c r="AO141" s="333"/>
      <c r="AP141" s="333"/>
      <c r="AQ141" s="333"/>
      <c r="AR141" s="333"/>
      <c r="AS141" s="333"/>
      <c r="AT141" s="333"/>
      <c r="AU141" s="333"/>
      <c r="AV141" s="333"/>
      <c r="AW141" s="333"/>
      <c r="AX141" s="333"/>
      <c r="AY141" s="333"/>
      <c r="AZ141" s="333"/>
      <c r="BA141" s="333"/>
      <c r="BB141" s="333"/>
      <c r="BC141" s="333"/>
      <c r="BD141" s="333"/>
      <c r="BE141" s="333"/>
      <c r="BF141" s="333"/>
      <c r="BG141" s="333"/>
      <c r="BH141" s="333"/>
      <c r="BI141" s="333"/>
      <c r="BJ141" s="333"/>
      <c r="BK141" s="333"/>
      <c r="BL141" s="333"/>
      <c r="BM141" s="333"/>
      <c r="BN141" s="333"/>
      <c r="BO141" s="333"/>
      <c r="BP141" s="333"/>
      <c r="BQ141" s="333"/>
      <c r="BR141" s="333"/>
      <c r="BS141" s="333"/>
      <c r="BT141" s="333"/>
      <c r="BU141" s="333"/>
      <c r="BV141" s="333"/>
      <c r="BW141" s="333"/>
      <c r="BX141" s="333"/>
      <c r="BY141" s="333"/>
      <c r="BZ141" s="333"/>
      <c r="CA141" s="333"/>
      <c r="CB141" s="333"/>
      <c r="CC141" s="333"/>
      <c r="CD141" s="333"/>
      <c r="CE141" s="333"/>
      <c r="CF141" s="333"/>
      <c r="CG141" s="333"/>
      <c r="CH141" s="333"/>
      <c r="CI141" s="333"/>
      <c r="CJ141" s="333"/>
      <c r="CK141" s="333"/>
      <c r="CL141" s="333"/>
      <c r="CM141" s="333"/>
      <c r="CN141" s="333"/>
      <c r="CO141" s="333"/>
      <c r="CP141" s="333"/>
      <c r="CQ141" s="333"/>
      <c r="CR141" s="333"/>
    </row>
    <row r="142" spans="1:96" s="332" customFormat="1" x14ac:dyDescent="0.7">
      <c r="A142" s="342"/>
      <c r="B142" s="342"/>
      <c r="C142" s="342"/>
      <c r="D142" s="343"/>
      <c r="E142" s="343"/>
      <c r="F142" s="344"/>
      <c r="G142" s="344"/>
      <c r="H142" s="344"/>
      <c r="I142" s="344"/>
      <c r="J142" s="344"/>
      <c r="K142" s="344"/>
      <c r="L142" s="152"/>
      <c r="M142" s="152"/>
      <c r="N142" s="152"/>
      <c r="Q142" s="333"/>
      <c r="R142" s="333"/>
      <c r="S142" s="334"/>
      <c r="T142" s="333"/>
      <c r="U142" s="333"/>
      <c r="V142" s="333"/>
      <c r="W142" s="333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  <c r="AM142" s="333"/>
      <c r="AN142" s="333"/>
      <c r="AO142" s="333"/>
      <c r="AP142" s="333"/>
      <c r="AQ142" s="333"/>
      <c r="AR142" s="333"/>
      <c r="AS142" s="333"/>
      <c r="AT142" s="333"/>
      <c r="AU142" s="333"/>
      <c r="AV142" s="333"/>
      <c r="AW142" s="333"/>
      <c r="AX142" s="333"/>
      <c r="AY142" s="333"/>
      <c r="AZ142" s="333"/>
      <c r="BA142" s="333"/>
      <c r="BB142" s="333"/>
      <c r="BC142" s="333"/>
      <c r="BD142" s="333"/>
      <c r="BE142" s="333"/>
      <c r="BF142" s="333"/>
      <c r="BG142" s="333"/>
      <c r="BH142" s="333"/>
      <c r="BI142" s="333"/>
      <c r="BJ142" s="333"/>
      <c r="BK142" s="333"/>
      <c r="BL142" s="333"/>
      <c r="BM142" s="333"/>
      <c r="BN142" s="333"/>
      <c r="BO142" s="333"/>
      <c r="BP142" s="333"/>
      <c r="BQ142" s="333"/>
      <c r="BR142" s="333"/>
      <c r="BS142" s="333"/>
      <c r="BT142" s="333"/>
      <c r="BU142" s="333"/>
      <c r="BV142" s="333"/>
      <c r="BW142" s="333"/>
      <c r="BX142" s="333"/>
      <c r="BY142" s="333"/>
      <c r="BZ142" s="333"/>
      <c r="CA142" s="333"/>
      <c r="CB142" s="333"/>
      <c r="CC142" s="333"/>
      <c r="CD142" s="333"/>
      <c r="CE142" s="333"/>
      <c r="CF142" s="333"/>
      <c r="CG142" s="333"/>
      <c r="CH142" s="333"/>
      <c r="CI142" s="333"/>
      <c r="CJ142" s="333"/>
      <c r="CK142" s="333"/>
      <c r="CL142" s="333"/>
      <c r="CM142" s="333"/>
      <c r="CN142" s="333"/>
      <c r="CO142" s="333"/>
      <c r="CP142" s="333"/>
      <c r="CQ142" s="333"/>
      <c r="CR142" s="333"/>
    </row>
    <row r="143" spans="1:96" s="332" customFormat="1" x14ac:dyDescent="0.7">
      <c r="A143" s="342"/>
      <c r="B143" s="342"/>
      <c r="C143" s="342"/>
      <c r="D143" s="343"/>
      <c r="E143" s="343"/>
      <c r="F143" s="344"/>
      <c r="G143" s="344"/>
      <c r="H143" s="344"/>
      <c r="I143" s="344"/>
      <c r="J143" s="344"/>
      <c r="K143" s="344"/>
      <c r="L143" s="152"/>
      <c r="M143" s="152"/>
      <c r="N143" s="152"/>
      <c r="Q143" s="333"/>
      <c r="R143" s="333"/>
      <c r="S143" s="334"/>
      <c r="T143" s="333"/>
      <c r="U143" s="333"/>
      <c r="V143" s="333"/>
      <c r="W143" s="333"/>
      <c r="X143" s="333"/>
      <c r="Y143" s="333"/>
      <c r="Z143" s="333"/>
      <c r="AA143" s="333"/>
      <c r="AB143" s="333"/>
      <c r="AC143" s="333"/>
      <c r="AD143" s="333"/>
      <c r="AE143" s="333"/>
      <c r="AF143" s="333"/>
      <c r="AG143" s="333"/>
      <c r="AH143" s="333"/>
      <c r="AI143" s="333"/>
      <c r="AJ143" s="333"/>
      <c r="AK143" s="333"/>
      <c r="AL143" s="333"/>
      <c r="AM143" s="333"/>
      <c r="AN143" s="333"/>
      <c r="AO143" s="333"/>
      <c r="AP143" s="333"/>
      <c r="AQ143" s="333"/>
      <c r="AR143" s="333"/>
      <c r="AS143" s="333"/>
      <c r="AT143" s="333"/>
      <c r="AU143" s="333"/>
      <c r="AV143" s="333"/>
      <c r="AW143" s="333"/>
      <c r="AX143" s="333"/>
      <c r="AY143" s="333"/>
      <c r="AZ143" s="333"/>
      <c r="BA143" s="333"/>
      <c r="BB143" s="333"/>
      <c r="BC143" s="333"/>
      <c r="BD143" s="333"/>
      <c r="BE143" s="333"/>
      <c r="BF143" s="333"/>
      <c r="BG143" s="333"/>
      <c r="BH143" s="333"/>
      <c r="BI143" s="333"/>
      <c r="BJ143" s="333"/>
      <c r="BK143" s="333"/>
      <c r="BL143" s="333"/>
      <c r="BM143" s="333"/>
      <c r="BN143" s="333"/>
      <c r="BO143" s="333"/>
      <c r="BP143" s="333"/>
      <c r="BQ143" s="333"/>
      <c r="BR143" s="333"/>
      <c r="BS143" s="333"/>
      <c r="BT143" s="333"/>
      <c r="BU143" s="333"/>
      <c r="BV143" s="333"/>
      <c r="BW143" s="333"/>
      <c r="BX143" s="333"/>
      <c r="BY143" s="333"/>
      <c r="BZ143" s="333"/>
      <c r="CA143" s="333"/>
      <c r="CB143" s="333"/>
      <c r="CC143" s="333"/>
      <c r="CD143" s="333"/>
      <c r="CE143" s="333"/>
      <c r="CF143" s="333"/>
      <c r="CG143" s="333"/>
      <c r="CH143" s="333"/>
      <c r="CI143" s="333"/>
      <c r="CJ143" s="333"/>
      <c r="CK143" s="333"/>
      <c r="CL143" s="333"/>
      <c r="CM143" s="333"/>
      <c r="CN143" s="333"/>
      <c r="CO143" s="333"/>
      <c r="CP143" s="333"/>
      <c r="CQ143" s="333"/>
      <c r="CR143" s="333"/>
    </row>
    <row r="144" spans="1:96" s="332" customFormat="1" x14ac:dyDescent="0.7">
      <c r="A144" s="342"/>
      <c r="B144" s="342"/>
      <c r="C144" s="342"/>
      <c r="D144" s="343"/>
      <c r="E144" s="343"/>
      <c r="F144" s="344"/>
      <c r="G144" s="344"/>
      <c r="H144" s="344"/>
      <c r="I144" s="344"/>
      <c r="J144" s="344"/>
      <c r="K144" s="344"/>
      <c r="L144" s="152"/>
      <c r="M144" s="152"/>
      <c r="N144" s="152"/>
      <c r="Q144" s="333"/>
      <c r="R144" s="333"/>
      <c r="S144" s="334"/>
      <c r="T144" s="333"/>
      <c r="U144" s="333"/>
      <c r="V144" s="333"/>
      <c r="W144" s="333"/>
      <c r="X144" s="333"/>
      <c r="Y144" s="333"/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333"/>
      <c r="AJ144" s="333"/>
      <c r="AK144" s="333"/>
      <c r="AL144" s="333"/>
      <c r="AM144" s="333"/>
      <c r="AN144" s="333"/>
      <c r="AO144" s="333"/>
      <c r="AP144" s="333"/>
      <c r="AQ144" s="333"/>
      <c r="AR144" s="333"/>
      <c r="AS144" s="333"/>
      <c r="AT144" s="333"/>
      <c r="AU144" s="333"/>
      <c r="AV144" s="333"/>
      <c r="AW144" s="333"/>
      <c r="AX144" s="333"/>
      <c r="AY144" s="333"/>
      <c r="AZ144" s="333"/>
      <c r="BA144" s="333"/>
      <c r="BB144" s="333"/>
      <c r="BC144" s="333"/>
      <c r="BD144" s="333"/>
      <c r="BE144" s="333"/>
      <c r="BF144" s="333"/>
      <c r="BG144" s="333"/>
      <c r="BH144" s="333"/>
      <c r="BI144" s="333"/>
      <c r="BJ144" s="333"/>
      <c r="BK144" s="333"/>
      <c r="BL144" s="333"/>
      <c r="BM144" s="333"/>
      <c r="BN144" s="333"/>
      <c r="BO144" s="333"/>
      <c r="BP144" s="333"/>
      <c r="BQ144" s="333"/>
      <c r="BR144" s="333"/>
      <c r="BS144" s="333"/>
      <c r="BT144" s="333"/>
      <c r="BU144" s="333"/>
      <c r="BV144" s="333"/>
      <c r="BW144" s="333"/>
      <c r="BX144" s="333"/>
      <c r="BY144" s="333"/>
      <c r="BZ144" s="333"/>
      <c r="CA144" s="333"/>
      <c r="CB144" s="333"/>
      <c r="CC144" s="333"/>
      <c r="CD144" s="333"/>
      <c r="CE144" s="333"/>
      <c r="CF144" s="333"/>
      <c r="CG144" s="333"/>
      <c r="CH144" s="333"/>
      <c r="CI144" s="333"/>
      <c r="CJ144" s="333"/>
      <c r="CK144" s="333"/>
      <c r="CL144" s="333"/>
      <c r="CM144" s="333"/>
      <c r="CN144" s="333"/>
      <c r="CO144" s="333"/>
      <c r="CP144" s="333"/>
      <c r="CQ144" s="333"/>
      <c r="CR144" s="333"/>
    </row>
    <row r="145" spans="1:96" s="332" customFormat="1" x14ac:dyDescent="0.7">
      <c r="A145" s="342"/>
      <c r="B145" s="342"/>
      <c r="C145" s="342"/>
      <c r="D145" s="343"/>
      <c r="E145" s="343"/>
      <c r="F145" s="344"/>
      <c r="G145" s="344"/>
      <c r="H145" s="344"/>
      <c r="I145" s="344"/>
      <c r="J145" s="344"/>
      <c r="K145" s="344"/>
      <c r="L145" s="152"/>
      <c r="M145" s="152"/>
      <c r="N145" s="152"/>
      <c r="Q145" s="333"/>
      <c r="R145" s="333"/>
      <c r="S145" s="334"/>
      <c r="T145" s="333"/>
      <c r="U145" s="333"/>
      <c r="V145" s="333"/>
      <c r="W145" s="333"/>
      <c r="X145" s="333"/>
      <c r="Y145" s="333"/>
      <c r="Z145" s="333"/>
      <c r="AA145" s="333"/>
      <c r="AB145" s="333"/>
      <c r="AC145" s="333"/>
      <c r="AD145" s="333"/>
      <c r="AE145" s="333"/>
      <c r="AF145" s="333"/>
      <c r="AG145" s="333"/>
      <c r="AH145" s="333"/>
      <c r="AI145" s="333"/>
      <c r="AJ145" s="333"/>
      <c r="AK145" s="333"/>
      <c r="AL145" s="333"/>
      <c r="AM145" s="333"/>
      <c r="AN145" s="333"/>
      <c r="AO145" s="333"/>
      <c r="AP145" s="333"/>
      <c r="AQ145" s="333"/>
      <c r="AR145" s="333"/>
      <c r="AS145" s="333"/>
      <c r="AT145" s="333"/>
      <c r="AU145" s="333"/>
      <c r="AV145" s="333"/>
      <c r="AW145" s="333"/>
      <c r="AX145" s="333"/>
      <c r="AY145" s="333"/>
      <c r="AZ145" s="333"/>
      <c r="BA145" s="333"/>
      <c r="BB145" s="333"/>
      <c r="BC145" s="333"/>
      <c r="BD145" s="333"/>
      <c r="BE145" s="333"/>
      <c r="BF145" s="333"/>
      <c r="BG145" s="333"/>
      <c r="BH145" s="333"/>
      <c r="BI145" s="333"/>
      <c r="BJ145" s="333"/>
      <c r="BK145" s="333"/>
      <c r="BL145" s="333"/>
      <c r="BM145" s="333"/>
      <c r="BN145" s="333"/>
      <c r="BO145" s="333"/>
      <c r="BP145" s="333"/>
      <c r="BQ145" s="333"/>
      <c r="BR145" s="333"/>
      <c r="BS145" s="333"/>
      <c r="BT145" s="333"/>
      <c r="BU145" s="333"/>
      <c r="BV145" s="333"/>
      <c r="BW145" s="333"/>
      <c r="BX145" s="333"/>
      <c r="BY145" s="333"/>
      <c r="BZ145" s="333"/>
      <c r="CA145" s="333"/>
      <c r="CB145" s="333"/>
      <c r="CC145" s="333"/>
      <c r="CD145" s="333"/>
      <c r="CE145" s="333"/>
      <c r="CF145" s="333"/>
      <c r="CG145" s="333"/>
      <c r="CH145" s="333"/>
      <c r="CI145" s="333"/>
      <c r="CJ145" s="333"/>
      <c r="CK145" s="333"/>
      <c r="CL145" s="333"/>
      <c r="CM145" s="333"/>
      <c r="CN145" s="333"/>
      <c r="CO145" s="333"/>
      <c r="CP145" s="333"/>
      <c r="CQ145" s="333"/>
      <c r="CR145" s="333"/>
    </row>
    <row r="146" spans="1:96" s="332" customFormat="1" x14ac:dyDescent="0.7">
      <c r="A146" s="342"/>
      <c r="B146" s="342"/>
      <c r="C146" s="342"/>
      <c r="D146" s="343"/>
      <c r="E146" s="343"/>
      <c r="F146" s="344"/>
      <c r="G146" s="344"/>
      <c r="H146" s="344"/>
      <c r="I146" s="344"/>
      <c r="J146" s="344"/>
      <c r="K146" s="344"/>
      <c r="L146" s="152"/>
      <c r="M146" s="152"/>
      <c r="N146" s="152"/>
      <c r="Q146" s="333"/>
      <c r="R146" s="333"/>
      <c r="S146" s="334"/>
      <c r="T146" s="333"/>
      <c r="U146" s="333"/>
      <c r="V146" s="333"/>
      <c r="W146" s="333"/>
      <c r="X146" s="333"/>
      <c r="Y146" s="333"/>
      <c r="Z146" s="333"/>
      <c r="AA146" s="333"/>
      <c r="AB146" s="333"/>
      <c r="AC146" s="333"/>
      <c r="AD146" s="333"/>
      <c r="AE146" s="333"/>
      <c r="AF146" s="333"/>
      <c r="AG146" s="333"/>
      <c r="AH146" s="333"/>
      <c r="AI146" s="333"/>
      <c r="AJ146" s="333"/>
      <c r="AK146" s="333"/>
      <c r="AL146" s="333"/>
      <c r="AM146" s="333"/>
      <c r="AN146" s="333"/>
      <c r="AO146" s="333"/>
      <c r="AP146" s="333"/>
      <c r="AQ146" s="333"/>
      <c r="AR146" s="333"/>
      <c r="AS146" s="333"/>
      <c r="AT146" s="333"/>
      <c r="AU146" s="333"/>
      <c r="AV146" s="333"/>
      <c r="AW146" s="333"/>
      <c r="AX146" s="333"/>
      <c r="AY146" s="333"/>
      <c r="AZ146" s="333"/>
      <c r="BA146" s="333"/>
      <c r="BB146" s="333"/>
      <c r="BC146" s="333"/>
      <c r="BD146" s="333"/>
      <c r="BE146" s="333"/>
      <c r="BF146" s="333"/>
      <c r="BG146" s="333"/>
      <c r="BH146" s="333"/>
      <c r="BI146" s="333"/>
      <c r="BJ146" s="333"/>
      <c r="BK146" s="333"/>
      <c r="BL146" s="333"/>
      <c r="BM146" s="333"/>
      <c r="BN146" s="333"/>
      <c r="BO146" s="333"/>
      <c r="BP146" s="333"/>
      <c r="BQ146" s="333"/>
      <c r="BR146" s="333"/>
      <c r="BS146" s="333"/>
      <c r="BT146" s="333"/>
      <c r="BU146" s="333"/>
      <c r="BV146" s="333"/>
      <c r="BW146" s="333"/>
      <c r="BX146" s="333"/>
      <c r="BY146" s="333"/>
      <c r="BZ146" s="333"/>
      <c r="CA146" s="333"/>
      <c r="CB146" s="333"/>
      <c r="CC146" s="333"/>
      <c r="CD146" s="333"/>
      <c r="CE146" s="333"/>
      <c r="CF146" s="333"/>
      <c r="CG146" s="333"/>
      <c r="CH146" s="333"/>
      <c r="CI146" s="333"/>
      <c r="CJ146" s="333"/>
      <c r="CK146" s="333"/>
      <c r="CL146" s="333"/>
      <c r="CM146" s="333"/>
      <c r="CN146" s="333"/>
      <c r="CO146" s="333"/>
      <c r="CP146" s="333"/>
      <c r="CQ146" s="333"/>
      <c r="CR146" s="333"/>
    </row>
    <row r="147" spans="1:96" s="332" customFormat="1" x14ac:dyDescent="0.7">
      <c r="A147" s="342"/>
      <c r="B147" s="342"/>
      <c r="C147" s="342"/>
      <c r="D147" s="343"/>
      <c r="E147" s="343"/>
      <c r="F147" s="344"/>
      <c r="G147" s="344"/>
      <c r="H147" s="344"/>
      <c r="I147" s="344"/>
      <c r="J147" s="344"/>
      <c r="K147" s="344"/>
      <c r="L147" s="152"/>
      <c r="M147" s="152"/>
      <c r="N147" s="152"/>
      <c r="Q147" s="333"/>
      <c r="R147" s="333"/>
      <c r="S147" s="334"/>
      <c r="T147" s="333"/>
      <c r="U147" s="333"/>
      <c r="V147" s="333"/>
      <c r="W147" s="333"/>
      <c r="X147" s="333"/>
      <c r="Y147" s="333"/>
      <c r="Z147" s="333"/>
      <c r="AA147" s="333"/>
      <c r="AB147" s="333"/>
      <c r="AC147" s="333"/>
      <c r="AD147" s="333"/>
      <c r="AE147" s="333"/>
      <c r="AF147" s="333"/>
      <c r="AG147" s="333"/>
      <c r="AH147" s="333"/>
      <c r="AI147" s="333"/>
      <c r="AJ147" s="333"/>
      <c r="AK147" s="333"/>
      <c r="AL147" s="333"/>
      <c r="AM147" s="333"/>
      <c r="AN147" s="333"/>
      <c r="AO147" s="333"/>
      <c r="AP147" s="333"/>
      <c r="AQ147" s="333"/>
      <c r="AR147" s="333"/>
      <c r="AS147" s="333"/>
      <c r="AT147" s="333"/>
      <c r="AU147" s="333"/>
      <c r="AV147" s="333"/>
      <c r="AW147" s="333"/>
      <c r="AX147" s="333"/>
      <c r="AY147" s="333"/>
      <c r="AZ147" s="333"/>
      <c r="BA147" s="333"/>
      <c r="BB147" s="333"/>
      <c r="BC147" s="333"/>
      <c r="BD147" s="333"/>
      <c r="BE147" s="333"/>
      <c r="BF147" s="333"/>
      <c r="BG147" s="333"/>
      <c r="BH147" s="333"/>
      <c r="BI147" s="333"/>
      <c r="BJ147" s="333"/>
      <c r="BK147" s="333"/>
      <c r="BL147" s="333"/>
      <c r="BM147" s="333"/>
      <c r="BN147" s="333"/>
      <c r="BO147" s="333"/>
      <c r="BP147" s="333"/>
      <c r="BQ147" s="333"/>
      <c r="BR147" s="333"/>
      <c r="BS147" s="333"/>
      <c r="BT147" s="333"/>
      <c r="BU147" s="333"/>
      <c r="BV147" s="333"/>
      <c r="BW147" s="333"/>
      <c r="BX147" s="333"/>
      <c r="BY147" s="333"/>
      <c r="BZ147" s="333"/>
      <c r="CA147" s="333"/>
      <c r="CB147" s="333"/>
      <c r="CC147" s="333"/>
      <c r="CD147" s="333"/>
      <c r="CE147" s="333"/>
      <c r="CF147" s="333"/>
      <c r="CG147" s="333"/>
      <c r="CH147" s="333"/>
      <c r="CI147" s="333"/>
      <c r="CJ147" s="333"/>
      <c r="CK147" s="333"/>
      <c r="CL147" s="333"/>
      <c r="CM147" s="333"/>
      <c r="CN147" s="333"/>
      <c r="CO147" s="333"/>
      <c r="CP147" s="333"/>
      <c r="CQ147" s="333"/>
      <c r="CR147" s="333"/>
    </row>
  </sheetData>
  <autoFilter ref="K1:K147" xr:uid="{00000000-0009-0000-0000-000004000000}"/>
  <mergeCells count="112">
    <mergeCell ref="A4:B4"/>
    <mergeCell ref="D4:D5"/>
    <mergeCell ref="E4:E5"/>
    <mergeCell ref="F4:H4"/>
    <mergeCell ref="I4:K4"/>
    <mergeCell ref="L4:O5"/>
    <mergeCell ref="D1:F1"/>
    <mergeCell ref="A2:B3"/>
    <mergeCell ref="H2:K2"/>
    <mergeCell ref="L2:O2"/>
    <mergeCell ref="H3:K3"/>
    <mergeCell ref="L3:O3"/>
    <mergeCell ref="L15:M15"/>
    <mergeCell ref="N15:N20"/>
    <mergeCell ref="L16:M16"/>
    <mergeCell ref="L17:M17"/>
    <mergeCell ref="L18:M18"/>
    <mergeCell ref="L19:M19"/>
    <mergeCell ref="L20:M20"/>
    <mergeCell ref="L6:N6"/>
    <mergeCell ref="L21:O21"/>
    <mergeCell ref="O6:O7"/>
    <mergeCell ref="L7:N7"/>
    <mergeCell ref="L8:M8"/>
    <mergeCell ref="N8:N14"/>
    <mergeCell ref="L9:M9"/>
    <mergeCell ref="L10:M10"/>
    <mergeCell ref="L11:M11"/>
    <mergeCell ref="L12:M12"/>
    <mergeCell ref="L13:M13"/>
    <mergeCell ref="L14:M14"/>
    <mergeCell ref="L22:N22"/>
    <mergeCell ref="L23:M23"/>
    <mergeCell ref="N23:N30"/>
    <mergeCell ref="L24:M24"/>
    <mergeCell ref="L25:M25"/>
    <mergeCell ref="L26:M26"/>
    <mergeCell ref="L27:M27"/>
    <mergeCell ref="L28:M28"/>
    <mergeCell ref="L29:M29"/>
    <mergeCell ref="L39:M39"/>
    <mergeCell ref="L40:M40"/>
    <mergeCell ref="L41:M41"/>
    <mergeCell ref="L42:M42"/>
    <mergeCell ref="L43:M43"/>
    <mergeCell ref="L44:M44"/>
    <mergeCell ref="L30:M30"/>
    <mergeCell ref="L31:N31"/>
    <mergeCell ref="L32:N32"/>
    <mergeCell ref="L33:N33"/>
    <mergeCell ref="L34:N34"/>
    <mergeCell ref="L35:M35"/>
    <mergeCell ref="N35:N44"/>
    <mergeCell ref="L36:M36"/>
    <mergeCell ref="L37:M37"/>
    <mergeCell ref="L38:M38"/>
    <mergeCell ref="L52:M52"/>
    <mergeCell ref="N52:N56"/>
    <mergeCell ref="L53:M53"/>
    <mergeCell ref="L54:M54"/>
    <mergeCell ref="L55:M55"/>
    <mergeCell ref="L56:M56"/>
    <mergeCell ref="L45:M45"/>
    <mergeCell ref="N45:N48"/>
    <mergeCell ref="L46:M46"/>
    <mergeCell ref="L47:M47"/>
    <mergeCell ref="L48:M48"/>
    <mergeCell ref="M49:M51"/>
    <mergeCell ref="N49:N51"/>
    <mergeCell ref="L65:O65"/>
    <mergeCell ref="L66:N66"/>
    <mergeCell ref="L67:O67"/>
    <mergeCell ref="L68:N68"/>
    <mergeCell ref="L69:N69"/>
    <mergeCell ref="L70:N70"/>
    <mergeCell ref="L57:N57"/>
    <mergeCell ref="L58:M58"/>
    <mergeCell ref="N58:N59"/>
    <mergeCell ref="L59:M59"/>
    <mergeCell ref="L60:M60"/>
    <mergeCell ref="N60:N64"/>
    <mergeCell ref="L61:M61"/>
    <mergeCell ref="L62:M62"/>
    <mergeCell ref="L63:M63"/>
    <mergeCell ref="L64:M64"/>
    <mergeCell ref="L80:M80"/>
    <mergeCell ref="L81:M81"/>
    <mergeCell ref="N81:N82"/>
    <mergeCell ref="L82:M82"/>
    <mergeCell ref="L83:N83"/>
    <mergeCell ref="L84:O84"/>
    <mergeCell ref="L71:N71"/>
    <mergeCell ref="L72:N72"/>
    <mergeCell ref="L73:M73"/>
    <mergeCell ref="N73:N80"/>
    <mergeCell ref="L74:M74"/>
    <mergeCell ref="L75:M75"/>
    <mergeCell ref="L76:M76"/>
    <mergeCell ref="L77:M77"/>
    <mergeCell ref="L78:M78"/>
    <mergeCell ref="L79:M79"/>
    <mergeCell ref="L90:N90"/>
    <mergeCell ref="L91:N91"/>
    <mergeCell ref="A92:O92"/>
    <mergeCell ref="A93:G93"/>
    <mergeCell ref="L93:O93"/>
    <mergeCell ref="L85:N85"/>
    <mergeCell ref="L86:N86"/>
    <mergeCell ref="L87:M87"/>
    <mergeCell ref="N87:N88"/>
    <mergeCell ref="L88:M88"/>
    <mergeCell ref="L89:N89"/>
  </mergeCells>
  <printOptions horizontalCentered="1"/>
  <pageMargins left="0" right="0" top="0" bottom="0" header="0" footer="0"/>
  <pageSetup paperSize="9"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64"/>
  <sheetViews>
    <sheetView topLeftCell="A15" zoomScaleNormal="100" workbookViewId="0">
      <selection activeCell="K6" sqref="K6:N6"/>
    </sheetView>
  </sheetViews>
  <sheetFormatPr defaultRowHeight="27" x14ac:dyDescent="0.2"/>
  <cols>
    <col min="1" max="1" width="11.140625" style="239" customWidth="1"/>
    <col min="2" max="2" width="10.85546875" style="239" customWidth="1"/>
    <col min="3" max="3" width="11.5703125" style="208" customWidth="1"/>
    <col min="4" max="4" width="11.7109375" style="208" customWidth="1"/>
    <col min="5" max="5" width="11.42578125" style="208" customWidth="1"/>
    <col min="6" max="6" width="11.85546875" style="208" customWidth="1"/>
    <col min="7" max="8" width="11.42578125" style="208" customWidth="1"/>
    <col min="9" max="9" width="14.28515625" style="208" customWidth="1"/>
    <col min="10" max="10" width="11.5703125" style="208" customWidth="1"/>
    <col min="11" max="11" width="15" style="240" customWidth="1"/>
    <col min="12" max="12" width="36" style="241" customWidth="1"/>
    <col min="13" max="13" width="13.28515625" style="241" customWidth="1"/>
    <col min="14" max="14" width="5.5703125" style="240" customWidth="1"/>
    <col min="15" max="78" width="9.140625" style="1" customWidth="1"/>
  </cols>
  <sheetData>
    <row r="1" spans="1:14" ht="13.5" customHeight="1" thickBot="1" x14ac:dyDescent="0.3">
      <c r="A1" s="200"/>
      <c r="B1" s="200"/>
      <c r="C1" s="991"/>
      <c r="D1" s="991"/>
      <c r="E1" s="991"/>
      <c r="F1" s="201"/>
      <c r="G1" s="202"/>
      <c r="H1" s="202"/>
      <c r="I1" s="202"/>
      <c r="J1" s="201"/>
      <c r="K1" s="203"/>
      <c r="L1" s="204"/>
      <c r="M1" s="204"/>
      <c r="N1" s="205"/>
    </row>
    <row r="2" spans="1:14" ht="33" customHeight="1" x14ac:dyDescent="0.2">
      <c r="A2" s="973" t="s">
        <v>20</v>
      </c>
      <c r="B2" s="974"/>
      <c r="C2" s="206"/>
      <c r="D2" s="206"/>
      <c r="E2" s="207"/>
      <c r="F2" s="207"/>
      <c r="G2" s="977" t="s">
        <v>333</v>
      </c>
      <c r="H2" s="977"/>
      <c r="I2" s="977"/>
      <c r="J2" s="978"/>
      <c r="K2" s="963" t="s">
        <v>311</v>
      </c>
      <c r="L2" s="963"/>
      <c r="M2" s="963"/>
      <c r="N2" s="964"/>
    </row>
    <row r="3" spans="1:14" ht="27" customHeight="1" thickBot="1" x14ac:dyDescent="0.25">
      <c r="A3" s="975"/>
      <c r="B3" s="976"/>
      <c r="E3" s="209"/>
      <c r="F3" s="209"/>
      <c r="G3" s="979" t="s">
        <v>331</v>
      </c>
      <c r="H3" s="979"/>
      <c r="I3" s="979"/>
      <c r="J3" s="980"/>
      <c r="K3" s="210"/>
      <c r="L3" s="211"/>
      <c r="M3" s="211"/>
      <c r="N3" s="212" t="s">
        <v>288</v>
      </c>
    </row>
    <row r="4" spans="1:14" ht="42.75" customHeight="1" thickBot="1" x14ac:dyDescent="0.25">
      <c r="A4" s="981" t="s">
        <v>33</v>
      </c>
      <c r="B4" s="982"/>
      <c r="C4" s="983" t="s">
        <v>315</v>
      </c>
      <c r="D4" s="985" t="s">
        <v>98</v>
      </c>
      <c r="E4" s="987" t="s">
        <v>317</v>
      </c>
      <c r="F4" s="988"/>
      <c r="G4" s="989"/>
      <c r="H4" s="981" t="s">
        <v>313</v>
      </c>
      <c r="I4" s="990"/>
      <c r="J4" s="982"/>
      <c r="K4" s="952" t="s">
        <v>3</v>
      </c>
      <c r="L4" s="952"/>
      <c r="M4" s="952"/>
      <c r="N4" s="953"/>
    </row>
    <row r="5" spans="1:14" ht="50.25" customHeight="1" thickBot="1" x14ac:dyDescent="0.25">
      <c r="A5" s="213" t="s">
        <v>316</v>
      </c>
      <c r="B5" s="219" t="s">
        <v>305</v>
      </c>
      <c r="C5" s="984"/>
      <c r="D5" s="986"/>
      <c r="E5" s="214" t="s">
        <v>1</v>
      </c>
      <c r="F5" s="215" t="s">
        <v>22</v>
      </c>
      <c r="G5" s="216" t="s">
        <v>276</v>
      </c>
      <c r="H5" s="428" t="s">
        <v>1</v>
      </c>
      <c r="I5" s="218" t="s">
        <v>140</v>
      </c>
      <c r="J5" s="219" t="s">
        <v>275</v>
      </c>
      <c r="K5" s="955"/>
      <c r="L5" s="955"/>
      <c r="M5" s="955"/>
      <c r="N5" s="956"/>
    </row>
    <row r="6" spans="1:14" ht="24" customHeight="1" thickBot="1" x14ac:dyDescent="0.25">
      <c r="A6" s="220">
        <f t="shared" ref="A6:I6" si="0">SUM(A7:A16)</f>
        <v>217840</v>
      </c>
      <c r="B6" s="244">
        <f t="shared" si="0"/>
        <v>185950</v>
      </c>
      <c r="C6" s="427">
        <f>SUM(C7:C16)</f>
        <v>100</v>
      </c>
      <c r="D6" s="631">
        <f t="shared" ref="D6" si="1">((E6-H6)/H6)*100</f>
        <v>58.777823893868174</v>
      </c>
      <c r="E6" s="220">
        <f t="shared" si="0"/>
        <v>849274</v>
      </c>
      <c r="F6" s="221">
        <f t="shared" si="0"/>
        <v>201356</v>
      </c>
      <c r="G6" s="244">
        <f>SUM(G7:G16)</f>
        <v>647918</v>
      </c>
      <c r="H6" s="220">
        <f t="shared" si="0"/>
        <v>534882</v>
      </c>
      <c r="I6" s="221">
        <f t="shared" si="0"/>
        <v>86465</v>
      </c>
      <c r="J6" s="244">
        <f>SUM(J7:J16)</f>
        <v>448417</v>
      </c>
      <c r="K6" s="957" t="s">
        <v>26</v>
      </c>
      <c r="L6" s="957"/>
      <c r="M6" s="957"/>
      <c r="N6" s="958"/>
    </row>
    <row r="7" spans="1:14" s="1" customFormat="1" ht="24" customHeight="1" x14ac:dyDescent="0.8">
      <c r="A7" s="223">
        <v>0</v>
      </c>
      <c r="B7" s="224">
        <v>0</v>
      </c>
      <c r="C7" s="635">
        <f>(E7/$E$6)*100</f>
        <v>0.67175022430923359</v>
      </c>
      <c r="D7" s="632">
        <f t="shared" ref="D7:D16" si="2">((E7-H7)/H7)*100</f>
        <v>20.155855096882899</v>
      </c>
      <c r="E7" s="223">
        <f>G7+F7</f>
        <v>5705</v>
      </c>
      <c r="F7" s="225">
        <v>5705</v>
      </c>
      <c r="G7" s="224">
        <v>0</v>
      </c>
      <c r="H7" s="223">
        <f>J7+I7</f>
        <v>4748</v>
      </c>
      <c r="I7" s="225">
        <v>4748</v>
      </c>
      <c r="J7" s="224">
        <v>0</v>
      </c>
      <c r="K7" s="959" t="s">
        <v>270</v>
      </c>
      <c r="L7" s="959"/>
      <c r="M7" s="959"/>
      <c r="N7" s="960"/>
    </row>
    <row r="8" spans="1:14" s="1" customFormat="1" ht="24" customHeight="1" x14ac:dyDescent="0.8">
      <c r="A8" s="226">
        <v>0</v>
      </c>
      <c r="B8" s="227">
        <v>0</v>
      </c>
      <c r="C8" s="636">
        <f t="shared" ref="C8:C16" si="3">(E8/$E$6)*100</f>
        <v>5.0053339676005626</v>
      </c>
      <c r="D8" s="633">
        <f t="shared" si="2"/>
        <v>17.64917524631905</v>
      </c>
      <c r="E8" s="228">
        <f t="shared" ref="E8:E16" si="4">G8+F8</f>
        <v>42509</v>
      </c>
      <c r="F8" s="229">
        <v>3585</v>
      </c>
      <c r="G8" s="227">
        <v>38924</v>
      </c>
      <c r="H8" s="228">
        <f t="shared" ref="H8:H16" si="5">J8+I8</f>
        <v>36132</v>
      </c>
      <c r="I8" s="229">
        <v>3210</v>
      </c>
      <c r="J8" s="227">
        <v>32922</v>
      </c>
      <c r="K8" s="949" t="s">
        <v>269</v>
      </c>
      <c r="L8" s="949"/>
      <c r="M8" s="949"/>
      <c r="N8" s="950"/>
    </row>
    <row r="9" spans="1:14" s="1" customFormat="1" ht="24" customHeight="1" x14ac:dyDescent="0.8">
      <c r="A9" s="226">
        <v>0</v>
      </c>
      <c r="B9" s="227">
        <v>0</v>
      </c>
      <c r="C9" s="636">
        <f>(E9/$E$6)*100</f>
        <v>10.824539547896203</v>
      </c>
      <c r="D9" s="633">
        <f t="shared" si="2"/>
        <v>16.364142679932154</v>
      </c>
      <c r="E9" s="228">
        <f t="shared" si="4"/>
        <v>91930</v>
      </c>
      <c r="F9" s="229">
        <v>7010</v>
      </c>
      <c r="G9" s="227">
        <v>84920</v>
      </c>
      <c r="H9" s="228">
        <f t="shared" si="5"/>
        <v>79002</v>
      </c>
      <c r="I9" s="229">
        <v>6846</v>
      </c>
      <c r="J9" s="227">
        <v>72156</v>
      </c>
      <c r="K9" s="949" t="s">
        <v>109</v>
      </c>
      <c r="L9" s="949"/>
      <c r="M9" s="949"/>
      <c r="N9" s="950"/>
    </row>
    <row r="10" spans="1:14" s="1" customFormat="1" ht="24" customHeight="1" x14ac:dyDescent="0.8">
      <c r="A10" s="226">
        <v>0</v>
      </c>
      <c r="B10" s="227">
        <v>0</v>
      </c>
      <c r="C10" s="636">
        <f t="shared" si="3"/>
        <v>14.011967869026956</v>
      </c>
      <c r="D10" s="633">
        <f t="shared" si="2"/>
        <v>44.834049389627936</v>
      </c>
      <c r="E10" s="228">
        <f t="shared" si="4"/>
        <v>119000</v>
      </c>
      <c r="F10" s="229">
        <v>0</v>
      </c>
      <c r="G10" s="227">
        <v>119000</v>
      </c>
      <c r="H10" s="228">
        <f t="shared" si="5"/>
        <v>82163</v>
      </c>
      <c r="I10" s="229">
        <v>9815</v>
      </c>
      <c r="J10" s="227">
        <v>72348</v>
      </c>
      <c r="K10" s="949" t="s">
        <v>91</v>
      </c>
      <c r="L10" s="949"/>
      <c r="M10" s="949"/>
      <c r="N10" s="950"/>
    </row>
    <row r="11" spans="1:14" s="1" customFormat="1" ht="24" customHeight="1" x14ac:dyDescent="0.8">
      <c r="A11" s="226">
        <v>0</v>
      </c>
      <c r="B11" s="227">
        <v>0</v>
      </c>
      <c r="C11" s="636">
        <f t="shared" si="3"/>
        <v>2.3549525830297404</v>
      </c>
      <c r="D11" s="633">
        <f t="shared" si="2"/>
        <v>179.56388034665923</v>
      </c>
      <c r="E11" s="228">
        <f t="shared" si="4"/>
        <v>20000</v>
      </c>
      <c r="F11" s="229">
        <v>5500</v>
      </c>
      <c r="G11" s="227">
        <v>14500</v>
      </c>
      <c r="H11" s="228">
        <f t="shared" si="5"/>
        <v>7154</v>
      </c>
      <c r="I11" s="229">
        <v>339</v>
      </c>
      <c r="J11" s="227">
        <v>6815</v>
      </c>
      <c r="K11" s="949" t="s">
        <v>216</v>
      </c>
      <c r="L11" s="949"/>
      <c r="M11" s="949"/>
      <c r="N11" s="950"/>
    </row>
    <row r="12" spans="1:14" s="1" customFormat="1" ht="24" customHeight="1" x14ac:dyDescent="0.8">
      <c r="A12" s="226">
        <v>217840</v>
      </c>
      <c r="B12" s="227">
        <v>185950</v>
      </c>
      <c r="C12" s="636">
        <f t="shared" si="3"/>
        <v>55.540379194464919</v>
      </c>
      <c r="D12" s="633">
        <f t="shared" si="2"/>
        <v>94.0623958594756</v>
      </c>
      <c r="E12" s="228">
        <f t="shared" si="4"/>
        <v>471690</v>
      </c>
      <c r="F12" s="229">
        <v>161056</v>
      </c>
      <c r="G12" s="227">
        <v>310634</v>
      </c>
      <c r="H12" s="228">
        <f t="shared" si="5"/>
        <v>243061</v>
      </c>
      <c r="I12" s="229">
        <v>50025</v>
      </c>
      <c r="J12" s="227">
        <v>193036</v>
      </c>
      <c r="K12" s="949" t="s">
        <v>215</v>
      </c>
      <c r="L12" s="949"/>
      <c r="M12" s="949"/>
      <c r="N12" s="950"/>
    </row>
    <row r="13" spans="1:14" s="1" customFormat="1" ht="24" customHeight="1" x14ac:dyDescent="0.8">
      <c r="A13" s="226">
        <v>0</v>
      </c>
      <c r="B13" s="227">
        <v>0</v>
      </c>
      <c r="C13" s="636">
        <f t="shared" si="3"/>
        <v>0</v>
      </c>
      <c r="D13" s="633">
        <v>0</v>
      </c>
      <c r="E13" s="228">
        <f t="shared" si="4"/>
        <v>0</v>
      </c>
      <c r="F13" s="229">
        <v>0</v>
      </c>
      <c r="G13" s="227">
        <v>0</v>
      </c>
      <c r="H13" s="228">
        <f t="shared" si="5"/>
        <v>0</v>
      </c>
      <c r="I13" s="229">
        <v>0</v>
      </c>
      <c r="J13" s="227">
        <v>0</v>
      </c>
      <c r="K13" s="949" t="s">
        <v>273</v>
      </c>
      <c r="L13" s="949"/>
      <c r="M13" s="949"/>
      <c r="N13" s="950"/>
    </row>
    <row r="14" spans="1:14" s="1" customFormat="1" ht="24" customHeight="1" x14ac:dyDescent="0.8">
      <c r="A14" s="226">
        <v>0</v>
      </c>
      <c r="B14" s="227">
        <v>0</v>
      </c>
      <c r="C14" s="636">
        <f t="shared" si="3"/>
        <v>0</v>
      </c>
      <c r="D14" s="633">
        <v>0</v>
      </c>
      <c r="E14" s="228">
        <f t="shared" si="4"/>
        <v>0</v>
      </c>
      <c r="F14" s="229">
        <v>0</v>
      </c>
      <c r="G14" s="227">
        <v>0</v>
      </c>
      <c r="H14" s="228">
        <f t="shared" si="5"/>
        <v>0</v>
      </c>
      <c r="I14" s="229">
        <v>0</v>
      </c>
      <c r="J14" s="227">
        <v>0</v>
      </c>
      <c r="K14" s="230" t="s">
        <v>268</v>
      </c>
      <c r="L14" s="965" t="s">
        <v>259</v>
      </c>
      <c r="M14" s="966"/>
      <c r="N14" s="967"/>
    </row>
    <row r="15" spans="1:14" s="1" customFormat="1" ht="24" customHeight="1" x14ac:dyDescent="0.8">
      <c r="A15" s="231">
        <v>0</v>
      </c>
      <c r="B15" s="232">
        <v>0</v>
      </c>
      <c r="C15" s="636">
        <f t="shared" si="3"/>
        <v>0</v>
      </c>
      <c r="D15" s="633">
        <v>0</v>
      </c>
      <c r="E15" s="228">
        <f t="shared" si="4"/>
        <v>0</v>
      </c>
      <c r="F15" s="233"/>
      <c r="G15" s="232"/>
      <c r="H15" s="228">
        <f t="shared" si="5"/>
        <v>0</v>
      </c>
      <c r="I15" s="233">
        <v>0</v>
      </c>
      <c r="J15" s="232">
        <v>0</v>
      </c>
      <c r="K15" s="234" t="s">
        <v>63</v>
      </c>
      <c r="L15" s="968"/>
      <c r="M15" s="969"/>
      <c r="N15" s="970"/>
    </row>
    <row r="16" spans="1:14" s="1" customFormat="1" ht="24" customHeight="1" thickBot="1" x14ac:dyDescent="0.85">
      <c r="A16" s="235">
        <v>0</v>
      </c>
      <c r="B16" s="236">
        <v>0</v>
      </c>
      <c r="C16" s="637">
        <f t="shared" si="3"/>
        <v>11.591076613672383</v>
      </c>
      <c r="D16" s="634">
        <f t="shared" si="2"/>
        <v>19.145021906998135</v>
      </c>
      <c r="E16" s="237">
        <f t="shared" si="4"/>
        <v>98440</v>
      </c>
      <c r="F16" s="238">
        <v>18500</v>
      </c>
      <c r="G16" s="236">
        <v>79940</v>
      </c>
      <c r="H16" s="237">
        <f t="shared" si="5"/>
        <v>82622</v>
      </c>
      <c r="I16" s="238">
        <v>11482</v>
      </c>
      <c r="J16" s="236">
        <v>71140</v>
      </c>
      <c r="K16" s="961" t="s">
        <v>63</v>
      </c>
      <c r="L16" s="961"/>
      <c r="M16" s="961"/>
      <c r="N16" s="962"/>
    </row>
    <row r="17" spans="1:78" s="1" customFormat="1" ht="24.95" customHeight="1" thickBot="1" x14ac:dyDescent="0.25">
      <c r="A17" s="239"/>
      <c r="B17" s="239"/>
      <c r="C17" s="208"/>
      <c r="D17" s="208"/>
      <c r="E17" s="208"/>
      <c r="F17" s="208"/>
      <c r="G17" s="208"/>
      <c r="H17" s="208"/>
      <c r="I17" s="208"/>
      <c r="J17" s="208"/>
      <c r="K17" s="240"/>
      <c r="L17" s="241"/>
      <c r="M17" s="241"/>
      <c r="N17" s="240"/>
    </row>
    <row r="18" spans="1:78" s="1" customFormat="1" ht="24.95" customHeight="1" x14ac:dyDescent="0.2">
      <c r="A18" s="973" t="s">
        <v>20</v>
      </c>
      <c r="B18" s="974"/>
      <c r="C18" s="206"/>
      <c r="D18" s="206"/>
      <c r="E18" s="207"/>
      <c r="F18" s="207"/>
      <c r="G18" s="977" t="s">
        <v>333</v>
      </c>
      <c r="H18" s="977"/>
      <c r="I18" s="977"/>
      <c r="J18" s="978"/>
      <c r="K18" s="963" t="s">
        <v>311</v>
      </c>
      <c r="L18" s="963"/>
      <c r="M18" s="963"/>
      <c r="N18" s="964"/>
    </row>
    <row r="19" spans="1:78" s="1" customFormat="1" ht="24.95" customHeight="1" thickBot="1" x14ac:dyDescent="0.25">
      <c r="A19" s="975"/>
      <c r="B19" s="976"/>
      <c r="C19" s="208"/>
      <c r="D19" s="208"/>
      <c r="E19" s="209"/>
      <c r="F19" s="209"/>
      <c r="G19" s="979" t="s">
        <v>337</v>
      </c>
      <c r="H19" s="979"/>
      <c r="I19" s="979" t="s">
        <v>337</v>
      </c>
      <c r="J19" s="980"/>
      <c r="K19" s="954" t="s">
        <v>289</v>
      </c>
      <c r="L19" s="955"/>
      <c r="M19" s="955"/>
      <c r="N19" s="956"/>
    </row>
    <row r="20" spans="1:78" s="1" customFormat="1" ht="48.75" customHeight="1" thickBot="1" x14ac:dyDescent="0.25">
      <c r="A20" s="981" t="s">
        <v>33</v>
      </c>
      <c r="B20" s="982"/>
      <c r="C20" s="983" t="s">
        <v>315</v>
      </c>
      <c r="D20" s="985" t="s">
        <v>98</v>
      </c>
      <c r="E20" s="987" t="s">
        <v>317</v>
      </c>
      <c r="F20" s="988"/>
      <c r="G20" s="989"/>
      <c r="H20" s="981" t="s">
        <v>313</v>
      </c>
      <c r="I20" s="990"/>
      <c r="J20" s="982"/>
      <c r="K20" s="951" t="s">
        <v>3</v>
      </c>
      <c r="L20" s="952"/>
      <c r="M20" s="952"/>
      <c r="N20" s="953"/>
    </row>
    <row r="21" spans="1:78" s="242" customFormat="1" ht="55.5" customHeight="1" thickBot="1" x14ac:dyDescent="0.75">
      <c r="A21" s="213" t="s">
        <v>316</v>
      </c>
      <c r="B21" s="219" t="s">
        <v>305</v>
      </c>
      <c r="C21" s="984"/>
      <c r="D21" s="986"/>
      <c r="E21" s="214" t="s">
        <v>1</v>
      </c>
      <c r="F21" s="215" t="s">
        <v>22</v>
      </c>
      <c r="G21" s="216" t="s">
        <v>23</v>
      </c>
      <c r="H21" s="217" t="s">
        <v>1</v>
      </c>
      <c r="I21" s="218" t="s">
        <v>140</v>
      </c>
      <c r="J21" s="219" t="s">
        <v>139</v>
      </c>
      <c r="K21" s="954"/>
      <c r="L21" s="955"/>
      <c r="M21" s="955"/>
      <c r="N21" s="95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s="242" customFormat="1" ht="24.95" customHeight="1" thickBot="1" x14ac:dyDescent="0.85">
      <c r="A22" s="222">
        <f t="shared" ref="A22" si="6">SUM(A23:A24)</f>
        <v>217840</v>
      </c>
      <c r="B22" s="222">
        <f t="shared" ref="B22" si="7">SUM(B23:B24)</f>
        <v>185950</v>
      </c>
      <c r="C22" s="243">
        <f>SUM(C23:C24)</f>
        <v>100</v>
      </c>
      <c r="D22" s="642">
        <f t="shared" ref="D22:D24" si="8">((E22-H22)/H22)*100</f>
        <v>58.777823893868174</v>
      </c>
      <c r="E22" s="243">
        <f t="shared" ref="E22:G22" si="9">SUM(E23:E24)</f>
        <v>849274</v>
      </c>
      <c r="F22" s="245">
        <f t="shared" si="9"/>
        <v>201356</v>
      </c>
      <c r="G22" s="244">
        <f t="shared" si="9"/>
        <v>647918</v>
      </c>
      <c r="H22" s="243">
        <f t="shared" ref="H22:I22" si="10">SUM(H23:H24)</f>
        <v>534882</v>
      </c>
      <c r="I22" s="245">
        <f t="shared" si="10"/>
        <v>86465</v>
      </c>
      <c r="J22" s="244">
        <f>SUM(J23:J24)</f>
        <v>448417</v>
      </c>
      <c r="K22" s="957" t="s">
        <v>26</v>
      </c>
      <c r="L22" s="957"/>
      <c r="M22" s="957"/>
      <c r="N22" s="95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s="242" customFormat="1" ht="24.95" customHeight="1" x14ac:dyDescent="0.8">
      <c r="A23" s="223">
        <v>217840</v>
      </c>
      <c r="B23" s="224">
        <v>185950</v>
      </c>
      <c r="C23" s="640">
        <f>(E23/$E$6)*100</f>
        <v>57.895331777494661</v>
      </c>
      <c r="D23" s="643">
        <f t="shared" si="8"/>
        <v>96.507003976580137</v>
      </c>
      <c r="E23" s="596">
        <f>G23+F23</f>
        <v>491690</v>
      </c>
      <c r="F23" s="225">
        <v>166556</v>
      </c>
      <c r="G23" s="224">
        <v>325134</v>
      </c>
      <c r="H23" s="223">
        <f>J23+I23</f>
        <v>250215</v>
      </c>
      <c r="I23" s="225">
        <v>50364</v>
      </c>
      <c r="J23" s="224">
        <v>199851</v>
      </c>
      <c r="K23" s="959" t="s">
        <v>381</v>
      </c>
      <c r="L23" s="959"/>
      <c r="M23" s="959"/>
      <c r="N23" s="96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s="242" customFormat="1" ht="24.95" customHeight="1" thickBot="1" x14ac:dyDescent="0.85">
      <c r="A24" s="235">
        <v>0</v>
      </c>
      <c r="B24" s="236">
        <v>0</v>
      </c>
      <c r="C24" s="641">
        <f t="shared" ref="C24" si="11">(E24/$E$6)*100</f>
        <v>42.104668222505346</v>
      </c>
      <c r="D24" s="644">
        <f t="shared" si="8"/>
        <v>25.614841200420141</v>
      </c>
      <c r="E24" s="597">
        <f>G24+F24</f>
        <v>357584</v>
      </c>
      <c r="F24" s="238">
        <v>34800</v>
      </c>
      <c r="G24" s="236">
        <v>322784</v>
      </c>
      <c r="H24" s="235">
        <f>J24+I24</f>
        <v>284667</v>
      </c>
      <c r="I24" s="238">
        <v>36101</v>
      </c>
      <c r="J24" s="236">
        <v>248566</v>
      </c>
      <c r="K24" s="966" t="s">
        <v>382</v>
      </c>
      <c r="L24" s="966"/>
      <c r="M24" s="961"/>
      <c r="N24" s="96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s="242" customFormat="1" ht="24.95" customHeight="1" thickBot="1" x14ac:dyDescent="0.7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9"/>
      <c r="L25" s="250"/>
      <c r="M25" s="251"/>
      <c r="N25" s="25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s="242" customFormat="1" ht="24.95" customHeight="1" thickBot="1" x14ac:dyDescent="0.75">
      <c r="A26" s="800" t="s">
        <v>358</v>
      </c>
      <c r="B26" s="801"/>
      <c r="C26" s="801"/>
      <c r="D26" s="801"/>
      <c r="E26" s="801"/>
      <c r="F26" s="801"/>
      <c r="G26" s="253"/>
      <c r="H26" s="253"/>
      <c r="I26" s="253"/>
      <c r="J26" s="253"/>
      <c r="K26" s="254"/>
      <c r="L26" s="971" t="s">
        <v>383</v>
      </c>
      <c r="M26" s="971"/>
      <c r="N26" s="97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s="242" customFormat="1" ht="24.95" customHeight="1" x14ac:dyDescent="0.7">
      <c r="A27" s="239"/>
      <c r="B27" s="239"/>
      <c r="C27" s="208"/>
      <c r="D27" s="208"/>
      <c r="E27" s="208"/>
      <c r="F27" s="208"/>
      <c r="G27" s="208"/>
      <c r="H27" s="208"/>
      <c r="I27" s="208"/>
      <c r="J27" s="208"/>
      <c r="K27" s="240"/>
      <c r="L27" s="241"/>
      <c r="M27" s="241"/>
      <c r="N27" s="24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s="242" customFormat="1" ht="24.95" customHeight="1" x14ac:dyDescent="0.7">
      <c r="A28" s="239"/>
      <c r="B28" s="239"/>
      <c r="C28" s="208"/>
      <c r="D28" s="208"/>
      <c r="E28" s="208"/>
      <c r="F28" s="208"/>
      <c r="G28" s="208"/>
      <c r="H28" s="208"/>
      <c r="I28" s="208"/>
      <c r="J28" s="208"/>
      <c r="K28" s="240"/>
      <c r="L28" s="241"/>
      <c r="M28" s="241"/>
      <c r="N28" s="24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s="242" customFormat="1" ht="24.95" customHeight="1" x14ac:dyDescent="0.7">
      <c r="A29" s="239"/>
      <c r="B29" s="239"/>
      <c r="C29" s="208"/>
      <c r="D29" s="208"/>
      <c r="E29" s="208"/>
      <c r="F29" s="208"/>
      <c r="G29" s="208"/>
      <c r="H29" s="208"/>
      <c r="I29" s="208"/>
      <c r="J29" s="208"/>
      <c r="K29" s="240"/>
      <c r="L29" s="241"/>
      <c r="M29" s="241"/>
      <c r="N29" s="24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s="242" customFormat="1" ht="24.95" customHeight="1" x14ac:dyDescent="0.7">
      <c r="A30" s="239"/>
      <c r="B30" s="239"/>
      <c r="C30" s="208"/>
      <c r="D30" s="208"/>
      <c r="E30" s="208"/>
      <c r="F30" s="208"/>
      <c r="G30" s="208"/>
      <c r="H30" s="208"/>
      <c r="I30" s="208"/>
      <c r="J30" s="208"/>
      <c r="K30" s="240"/>
      <c r="L30" s="241"/>
      <c r="M30" s="241"/>
      <c r="N30" s="24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s="242" customFormat="1" ht="24.95" customHeight="1" x14ac:dyDescent="0.7">
      <c r="A31" s="239"/>
      <c r="B31" s="239"/>
      <c r="C31" s="208"/>
      <c r="D31" s="208"/>
      <c r="E31" s="208"/>
      <c r="F31" s="208"/>
      <c r="G31" s="208"/>
      <c r="H31" s="208"/>
      <c r="I31" s="208"/>
      <c r="J31" s="208"/>
      <c r="K31" s="240"/>
      <c r="L31" s="241"/>
      <c r="M31" s="241"/>
      <c r="N31" s="24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s="242" customFormat="1" ht="24.95" customHeight="1" x14ac:dyDescent="0.7">
      <c r="A32" s="239"/>
      <c r="B32" s="239"/>
      <c r="C32" s="208"/>
      <c r="D32" s="208"/>
      <c r="E32" s="208"/>
      <c r="F32" s="208"/>
      <c r="G32" s="208"/>
      <c r="H32" s="208"/>
      <c r="I32" s="208"/>
      <c r="J32" s="208"/>
      <c r="K32" s="240"/>
      <c r="L32" s="241"/>
      <c r="M32" s="241"/>
      <c r="N32" s="24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s="242" customFormat="1" ht="24.95" customHeight="1" x14ac:dyDescent="0.7">
      <c r="A33" s="239"/>
      <c r="B33" s="239"/>
      <c r="C33" s="208"/>
      <c r="D33" s="208"/>
      <c r="E33" s="208"/>
      <c r="F33" s="208"/>
      <c r="G33" s="208"/>
      <c r="H33" s="208"/>
      <c r="I33" s="208"/>
      <c r="J33" s="208"/>
      <c r="K33" s="240"/>
      <c r="L33" s="241"/>
      <c r="M33" s="241"/>
      <c r="N33" s="24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s="242" customFormat="1" ht="24.95" customHeight="1" x14ac:dyDescent="0.7">
      <c r="A34" s="239"/>
      <c r="B34" s="239"/>
      <c r="C34" s="208"/>
      <c r="D34" s="208"/>
      <c r="E34" s="208"/>
      <c r="F34" s="208"/>
      <c r="G34" s="208"/>
      <c r="H34" s="208"/>
      <c r="I34" s="208"/>
      <c r="J34" s="208"/>
      <c r="K34" s="240"/>
      <c r="L34" s="241"/>
      <c r="M34" s="241"/>
      <c r="N34" s="24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s="242" customFormat="1" ht="24.95" customHeight="1" x14ac:dyDescent="0.7">
      <c r="A35" s="239"/>
      <c r="B35" s="239"/>
      <c r="C35" s="208"/>
      <c r="D35" s="208"/>
      <c r="E35" s="208"/>
      <c r="F35" s="208"/>
      <c r="G35" s="208"/>
      <c r="H35" s="208"/>
      <c r="I35" s="208"/>
      <c r="J35" s="208"/>
      <c r="K35" s="240"/>
      <c r="L35" s="241"/>
      <c r="M35" s="241"/>
      <c r="N35" s="24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s="242" customFormat="1" ht="24.95" customHeight="1" x14ac:dyDescent="0.7">
      <c r="A36" s="239"/>
      <c r="B36" s="239"/>
      <c r="C36" s="208"/>
      <c r="D36" s="208"/>
      <c r="E36" s="208"/>
      <c r="F36" s="208"/>
      <c r="G36" s="208"/>
      <c r="H36" s="208"/>
      <c r="I36" s="208"/>
      <c r="J36" s="208"/>
      <c r="K36" s="240"/>
      <c r="L36" s="241"/>
      <c r="M36" s="241"/>
      <c r="N36" s="24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s="242" customFormat="1" ht="24.95" customHeight="1" x14ac:dyDescent="0.7">
      <c r="A37" s="239"/>
      <c r="B37" s="239"/>
      <c r="C37" s="208"/>
      <c r="D37" s="208"/>
      <c r="E37" s="208"/>
      <c r="F37" s="208"/>
      <c r="G37" s="208"/>
      <c r="H37" s="208"/>
      <c r="I37" s="208"/>
      <c r="J37" s="208"/>
      <c r="K37" s="240"/>
      <c r="L37" s="241"/>
      <c r="M37" s="241"/>
      <c r="N37" s="24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s="242" customFormat="1" ht="24.95" customHeight="1" x14ac:dyDescent="0.7">
      <c r="A38" s="239"/>
      <c r="B38" s="239"/>
      <c r="C38" s="208"/>
      <c r="D38" s="208"/>
      <c r="E38" s="208"/>
      <c r="F38" s="208"/>
      <c r="G38" s="208"/>
      <c r="H38" s="208"/>
      <c r="I38" s="208"/>
      <c r="J38" s="208"/>
      <c r="K38" s="240"/>
      <c r="L38" s="241"/>
      <c r="M38" s="241"/>
      <c r="N38" s="24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s="242" customFormat="1" ht="24.95" customHeight="1" x14ac:dyDescent="0.7">
      <c r="A39" s="239"/>
      <c r="B39" s="239"/>
      <c r="C39" s="208"/>
      <c r="D39" s="208"/>
      <c r="E39" s="208"/>
      <c r="F39" s="208"/>
      <c r="G39" s="208"/>
      <c r="H39" s="208"/>
      <c r="I39" s="208"/>
      <c r="J39" s="208"/>
      <c r="K39" s="240"/>
      <c r="L39" s="241"/>
      <c r="M39" s="241"/>
      <c r="N39" s="24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s="242" customFormat="1" ht="24.95" customHeight="1" x14ac:dyDescent="0.7">
      <c r="A40" s="239"/>
      <c r="B40" s="239"/>
      <c r="C40" s="208"/>
      <c r="D40" s="208"/>
      <c r="E40" s="208"/>
      <c r="F40" s="208"/>
      <c r="G40" s="208"/>
      <c r="H40" s="208"/>
      <c r="I40" s="208"/>
      <c r="J40" s="208"/>
      <c r="K40" s="240"/>
      <c r="L40" s="241"/>
      <c r="M40" s="241"/>
      <c r="N40" s="24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s="242" customFormat="1" ht="24.95" customHeight="1" x14ac:dyDescent="0.7">
      <c r="A41" s="239"/>
      <c r="B41" s="239"/>
      <c r="C41" s="208"/>
      <c r="D41" s="208"/>
      <c r="E41" s="208"/>
      <c r="F41" s="208"/>
      <c r="G41" s="208"/>
      <c r="H41" s="208"/>
      <c r="I41" s="208"/>
      <c r="J41" s="208"/>
      <c r="K41" s="240"/>
      <c r="L41" s="241"/>
      <c r="M41" s="241"/>
      <c r="N41" s="24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s="242" customFormat="1" ht="24.95" customHeight="1" x14ac:dyDescent="0.7">
      <c r="A42" s="239"/>
      <c r="B42" s="239"/>
      <c r="C42" s="208"/>
      <c r="D42" s="208"/>
      <c r="E42" s="208"/>
      <c r="F42" s="208"/>
      <c r="G42" s="208"/>
      <c r="H42" s="208"/>
      <c r="I42" s="208"/>
      <c r="J42" s="208"/>
      <c r="K42" s="240"/>
      <c r="L42" s="241"/>
      <c r="M42" s="241"/>
      <c r="N42" s="24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s="242" customFormat="1" ht="24.95" customHeight="1" x14ac:dyDescent="0.7">
      <c r="A43" s="239"/>
      <c r="B43" s="239"/>
      <c r="C43" s="208"/>
      <c r="D43" s="208"/>
      <c r="E43" s="208"/>
      <c r="F43" s="208"/>
      <c r="G43" s="208"/>
      <c r="H43" s="208"/>
      <c r="I43" s="208"/>
      <c r="J43" s="208"/>
      <c r="K43" s="240"/>
      <c r="L43" s="241"/>
      <c r="M43" s="241"/>
      <c r="N43" s="24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s="242" customFormat="1" ht="24.95" customHeight="1" x14ac:dyDescent="0.7">
      <c r="A44" s="239"/>
      <c r="B44" s="239"/>
      <c r="C44" s="208"/>
      <c r="D44" s="208"/>
      <c r="E44" s="208"/>
      <c r="F44" s="208"/>
      <c r="G44" s="208"/>
      <c r="H44" s="208"/>
      <c r="I44" s="208"/>
      <c r="J44" s="208"/>
      <c r="K44" s="240"/>
      <c r="L44" s="241"/>
      <c r="M44" s="241"/>
      <c r="N44" s="24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s="242" customFormat="1" ht="24.95" customHeight="1" x14ac:dyDescent="0.7">
      <c r="A45" s="239"/>
      <c r="B45" s="239"/>
      <c r="C45" s="208"/>
      <c r="D45" s="208"/>
      <c r="E45" s="208"/>
      <c r="F45" s="208"/>
      <c r="G45" s="208"/>
      <c r="H45" s="208"/>
      <c r="I45" s="208"/>
      <c r="J45" s="208"/>
      <c r="K45" s="240"/>
      <c r="L45" s="241"/>
      <c r="M45" s="241"/>
      <c r="N45" s="24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s="242" customFormat="1" ht="24.95" customHeight="1" x14ac:dyDescent="0.7">
      <c r="A46" s="239"/>
      <c r="B46" s="239"/>
      <c r="C46" s="208"/>
      <c r="D46" s="208"/>
      <c r="E46" s="208"/>
      <c r="F46" s="208"/>
      <c r="G46" s="208"/>
      <c r="H46" s="208"/>
      <c r="I46" s="208"/>
      <c r="J46" s="208"/>
      <c r="K46" s="240"/>
      <c r="L46" s="241"/>
      <c r="M46" s="241"/>
      <c r="N46" s="24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42" customFormat="1" ht="24.95" customHeight="1" x14ac:dyDescent="0.7">
      <c r="A47" s="239"/>
      <c r="B47" s="239"/>
      <c r="C47" s="208"/>
      <c r="D47" s="208"/>
      <c r="E47" s="208"/>
      <c r="F47" s="208"/>
      <c r="G47" s="208"/>
      <c r="H47" s="208"/>
      <c r="I47" s="208"/>
      <c r="J47" s="208"/>
      <c r="K47" s="240"/>
      <c r="L47" s="241"/>
      <c r="M47" s="241"/>
      <c r="N47" s="24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42" customFormat="1" ht="24.95" customHeight="1" x14ac:dyDescent="0.7">
      <c r="A48" s="239"/>
      <c r="B48" s="239"/>
      <c r="C48" s="208"/>
      <c r="D48" s="208"/>
      <c r="E48" s="208"/>
      <c r="F48" s="208"/>
      <c r="G48" s="208"/>
      <c r="H48" s="208"/>
      <c r="I48" s="208"/>
      <c r="J48" s="208"/>
      <c r="K48" s="240"/>
      <c r="L48" s="241"/>
      <c r="M48" s="241"/>
      <c r="N48" s="24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s="242" customFormat="1" ht="24.95" customHeight="1" x14ac:dyDescent="0.7">
      <c r="A49" s="239"/>
      <c r="B49" s="239"/>
      <c r="C49" s="208"/>
      <c r="D49" s="208"/>
      <c r="E49" s="208"/>
      <c r="F49" s="208"/>
      <c r="G49" s="208"/>
      <c r="H49" s="208"/>
      <c r="I49" s="208"/>
      <c r="J49" s="208"/>
      <c r="K49" s="240"/>
      <c r="L49" s="241"/>
      <c r="M49" s="241"/>
      <c r="N49" s="24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s="242" customFormat="1" x14ac:dyDescent="0.7">
      <c r="A50" s="239"/>
      <c r="B50" s="239"/>
      <c r="C50" s="208"/>
      <c r="D50" s="208"/>
      <c r="E50" s="208"/>
      <c r="F50" s="208"/>
      <c r="G50" s="208"/>
      <c r="H50" s="208"/>
      <c r="I50" s="208"/>
      <c r="J50" s="208"/>
      <c r="K50" s="240"/>
      <c r="L50" s="241"/>
      <c r="M50" s="241"/>
      <c r="N50" s="24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s="242" customFormat="1" x14ac:dyDescent="0.7">
      <c r="A51" s="239"/>
      <c r="B51" s="239"/>
      <c r="C51" s="208"/>
      <c r="D51" s="208"/>
      <c r="E51" s="208"/>
      <c r="F51" s="208"/>
      <c r="G51" s="208"/>
      <c r="H51" s="208"/>
      <c r="I51" s="208"/>
      <c r="J51" s="208"/>
      <c r="K51" s="240"/>
      <c r="L51" s="241"/>
      <c r="M51" s="241"/>
      <c r="N51" s="24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s="242" customFormat="1" x14ac:dyDescent="0.7">
      <c r="A52" s="239"/>
      <c r="B52" s="239"/>
      <c r="C52" s="208"/>
      <c r="D52" s="208"/>
      <c r="E52" s="208"/>
      <c r="F52" s="208"/>
      <c r="G52" s="208"/>
      <c r="H52" s="208"/>
      <c r="I52" s="208"/>
      <c r="J52" s="208"/>
      <c r="K52" s="240"/>
      <c r="L52" s="241"/>
      <c r="M52" s="241"/>
      <c r="N52" s="24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s="242" customFormat="1" x14ac:dyDescent="0.7">
      <c r="A53" s="239"/>
      <c r="B53" s="239"/>
      <c r="C53" s="208"/>
      <c r="D53" s="208"/>
      <c r="E53" s="208"/>
      <c r="F53" s="208"/>
      <c r="G53" s="208"/>
      <c r="H53" s="208"/>
      <c r="I53" s="208"/>
      <c r="J53" s="208"/>
      <c r="K53" s="240"/>
      <c r="L53" s="241"/>
      <c r="M53" s="241"/>
      <c r="N53" s="240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s="242" customFormat="1" x14ac:dyDescent="0.7">
      <c r="A54" s="239"/>
      <c r="B54" s="239"/>
      <c r="C54" s="208"/>
      <c r="D54" s="208"/>
      <c r="E54" s="208"/>
      <c r="F54" s="208"/>
      <c r="G54" s="208"/>
      <c r="H54" s="208"/>
      <c r="I54" s="208"/>
      <c r="J54" s="208"/>
      <c r="K54" s="240"/>
      <c r="L54" s="241"/>
      <c r="M54" s="241"/>
      <c r="N54" s="24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s="242" customFormat="1" x14ac:dyDescent="0.7">
      <c r="A55" s="239"/>
      <c r="B55" s="239"/>
      <c r="C55" s="208"/>
      <c r="D55" s="208"/>
      <c r="E55" s="208"/>
      <c r="F55" s="208"/>
      <c r="G55" s="208"/>
      <c r="H55" s="208"/>
      <c r="I55" s="208"/>
      <c r="J55" s="208"/>
      <c r="K55" s="240"/>
      <c r="L55" s="241"/>
      <c r="M55" s="241"/>
      <c r="N55" s="240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s="242" customFormat="1" x14ac:dyDescent="0.7">
      <c r="A56" s="239"/>
      <c r="B56" s="239"/>
      <c r="C56" s="208"/>
      <c r="D56" s="208"/>
      <c r="E56" s="208"/>
      <c r="F56" s="208"/>
      <c r="G56" s="208"/>
      <c r="H56" s="208"/>
      <c r="I56" s="208"/>
      <c r="J56" s="208"/>
      <c r="K56" s="240"/>
      <c r="L56" s="241"/>
      <c r="M56" s="241"/>
      <c r="N56" s="24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s="242" customFormat="1" x14ac:dyDescent="0.7">
      <c r="A57" s="239"/>
      <c r="B57" s="239"/>
      <c r="C57" s="208"/>
      <c r="D57" s="208"/>
      <c r="E57" s="208"/>
      <c r="F57" s="208"/>
      <c r="G57" s="208"/>
      <c r="H57" s="208"/>
      <c r="I57" s="208"/>
      <c r="J57" s="208"/>
      <c r="K57" s="240"/>
      <c r="L57" s="241"/>
      <c r="M57" s="241"/>
      <c r="N57" s="24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s="242" customFormat="1" x14ac:dyDescent="0.7">
      <c r="A58" s="239"/>
      <c r="B58" s="239"/>
      <c r="C58" s="208"/>
      <c r="D58" s="208"/>
      <c r="E58" s="208"/>
      <c r="F58" s="208"/>
      <c r="G58" s="208"/>
      <c r="H58" s="208"/>
      <c r="I58" s="208"/>
      <c r="J58" s="208"/>
      <c r="K58" s="240"/>
      <c r="L58" s="241"/>
      <c r="M58" s="241"/>
      <c r="N58" s="24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s="242" customFormat="1" x14ac:dyDescent="0.7">
      <c r="A59" s="239"/>
      <c r="B59" s="239"/>
      <c r="C59" s="208"/>
      <c r="D59" s="208"/>
      <c r="E59" s="208"/>
      <c r="F59" s="208"/>
      <c r="G59" s="208"/>
      <c r="H59" s="208"/>
      <c r="I59" s="208"/>
      <c r="J59" s="208"/>
      <c r="K59" s="240"/>
      <c r="L59" s="241"/>
      <c r="M59" s="241"/>
      <c r="N59" s="24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s="242" customFormat="1" x14ac:dyDescent="0.7">
      <c r="A60" s="239"/>
      <c r="B60" s="239"/>
      <c r="C60" s="208"/>
      <c r="D60" s="208"/>
      <c r="E60" s="208"/>
      <c r="F60" s="208"/>
      <c r="G60" s="208"/>
      <c r="H60" s="208"/>
      <c r="I60" s="208"/>
      <c r="J60" s="208"/>
      <c r="K60" s="240"/>
      <c r="L60" s="241"/>
      <c r="M60" s="241"/>
      <c r="N60" s="240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s="242" customFormat="1" x14ac:dyDescent="0.7">
      <c r="A61" s="239"/>
      <c r="B61" s="239"/>
      <c r="C61" s="208"/>
      <c r="D61" s="208"/>
      <c r="E61" s="208"/>
      <c r="F61" s="208"/>
      <c r="G61" s="208"/>
      <c r="H61" s="208"/>
      <c r="I61" s="208"/>
      <c r="J61" s="208"/>
      <c r="K61" s="240"/>
      <c r="L61" s="241"/>
      <c r="M61" s="241"/>
      <c r="N61" s="24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s="242" customFormat="1" x14ac:dyDescent="0.7">
      <c r="A62" s="239"/>
      <c r="B62" s="239"/>
      <c r="C62" s="208"/>
      <c r="D62" s="208"/>
      <c r="E62" s="208"/>
      <c r="F62" s="208"/>
      <c r="G62" s="208"/>
      <c r="H62" s="208"/>
      <c r="I62" s="208"/>
      <c r="J62" s="208"/>
      <c r="K62" s="240"/>
      <c r="L62" s="241"/>
      <c r="M62" s="241"/>
      <c r="N62" s="24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s="242" customFormat="1" x14ac:dyDescent="0.7">
      <c r="A63" s="239"/>
      <c r="B63" s="239"/>
      <c r="C63" s="208"/>
      <c r="D63" s="208"/>
      <c r="E63" s="208"/>
      <c r="F63" s="208"/>
      <c r="G63" s="208"/>
      <c r="H63" s="208"/>
      <c r="I63" s="208"/>
      <c r="J63" s="208"/>
      <c r="K63" s="240"/>
      <c r="L63" s="241"/>
      <c r="M63" s="241"/>
      <c r="N63" s="240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s="242" customFormat="1" x14ac:dyDescent="0.7">
      <c r="A64" s="239"/>
      <c r="B64" s="239"/>
      <c r="C64" s="208"/>
      <c r="D64" s="208"/>
      <c r="E64" s="208"/>
      <c r="F64" s="208"/>
      <c r="G64" s="208"/>
      <c r="H64" s="208"/>
      <c r="I64" s="208"/>
      <c r="J64" s="208"/>
      <c r="K64" s="240"/>
      <c r="L64" s="241"/>
      <c r="M64" s="241"/>
      <c r="N64" s="24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</sheetData>
  <autoFilter ref="J1:J64" xr:uid="{00000000-0009-0000-0000-000005000000}"/>
  <mergeCells count="37">
    <mergeCell ref="C1:E1"/>
    <mergeCell ref="A2:B3"/>
    <mergeCell ref="G2:J2"/>
    <mergeCell ref="G3:J3"/>
    <mergeCell ref="K2:N2"/>
    <mergeCell ref="A4:B4"/>
    <mergeCell ref="C4:C5"/>
    <mergeCell ref="D4:D5"/>
    <mergeCell ref="E4:G4"/>
    <mergeCell ref="H4:J4"/>
    <mergeCell ref="K9:N9"/>
    <mergeCell ref="K10:N10"/>
    <mergeCell ref="K11:N11"/>
    <mergeCell ref="K12:N12"/>
    <mergeCell ref="K4:N5"/>
    <mergeCell ref="K6:N6"/>
    <mergeCell ref="K7:N7"/>
    <mergeCell ref="K8:N8"/>
    <mergeCell ref="A26:F26"/>
    <mergeCell ref="L26:N26"/>
    <mergeCell ref="A18:B19"/>
    <mergeCell ref="G18:J18"/>
    <mergeCell ref="G19:J19"/>
    <mergeCell ref="A20:B20"/>
    <mergeCell ref="C20:C21"/>
    <mergeCell ref="D20:D21"/>
    <mergeCell ref="E20:G20"/>
    <mergeCell ref="H20:J20"/>
    <mergeCell ref="K24:N24"/>
    <mergeCell ref="K13:N13"/>
    <mergeCell ref="K20:N21"/>
    <mergeCell ref="K22:N22"/>
    <mergeCell ref="K23:N23"/>
    <mergeCell ref="K16:N16"/>
    <mergeCell ref="K18:N18"/>
    <mergeCell ref="K19:N19"/>
    <mergeCell ref="L14:N15"/>
  </mergeCells>
  <printOptions horizontalCentered="1"/>
  <pageMargins left="0" right="0" top="0.74803149606299213" bottom="0.19685039370078741" header="0.15748031496062992" footer="0.19685039370078741"/>
  <pageSetup paperSize="9" scale="5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V33"/>
  <sheetViews>
    <sheetView zoomScaleNormal="100" workbookViewId="0">
      <selection activeCell="L5" sqref="L5:M6"/>
    </sheetView>
  </sheetViews>
  <sheetFormatPr defaultColWidth="9.140625" defaultRowHeight="23.25" x14ac:dyDescent="0.7"/>
  <cols>
    <col min="1" max="1" width="1.42578125" style="99" customWidth="1"/>
    <col min="2" max="11" width="11.28515625" style="255" customWidth="1"/>
    <col min="12" max="12" width="22.7109375" style="255" customWidth="1"/>
    <col min="13" max="13" width="11.85546875" style="255" customWidth="1"/>
    <col min="14" max="152" width="9.140625" style="101" customWidth="1"/>
    <col min="153" max="16384" width="9.140625" style="99"/>
  </cols>
  <sheetData>
    <row r="1" spans="2:152" ht="5.25" customHeight="1" thickBot="1" x14ac:dyDescent="0.75"/>
    <row r="2" spans="2:152" ht="30" customHeight="1" x14ac:dyDescent="0.2">
      <c r="B2" s="1027" t="s">
        <v>333</v>
      </c>
      <c r="C2" s="1028"/>
      <c r="D2" s="1028"/>
      <c r="E2" s="1028"/>
      <c r="F2" s="1028"/>
      <c r="G2" s="1028"/>
      <c r="H2" s="1028"/>
      <c r="I2" s="1028"/>
      <c r="J2" s="1028"/>
      <c r="K2" s="1028"/>
      <c r="L2" s="1029" t="s">
        <v>311</v>
      </c>
      <c r="M2" s="1030"/>
    </row>
    <row r="3" spans="2:152" ht="26.25" customHeight="1" thickBot="1" x14ac:dyDescent="0.25">
      <c r="B3" s="1031" t="s">
        <v>330</v>
      </c>
      <c r="C3" s="1032"/>
      <c r="D3" s="1032"/>
      <c r="E3" s="1032"/>
      <c r="F3" s="1032"/>
      <c r="G3" s="1032"/>
      <c r="H3" s="1032"/>
      <c r="I3" s="1032"/>
      <c r="J3" s="1032"/>
      <c r="K3" s="1032"/>
      <c r="L3" s="1033" t="s">
        <v>142</v>
      </c>
      <c r="M3" s="1034"/>
    </row>
    <row r="4" spans="2:152" ht="29.25" customHeight="1" thickBot="1" x14ac:dyDescent="0.25">
      <c r="B4" s="1035" t="s">
        <v>15</v>
      </c>
      <c r="C4" s="1036"/>
      <c r="D4" s="1036"/>
      <c r="E4" s="1036"/>
      <c r="F4" s="1036"/>
      <c r="G4" s="1036"/>
      <c r="H4" s="1036"/>
      <c r="I4" s="1036"/>
      <c r="J4" s="1036"/>
      <c r="K4" s="1036"/>
      <c r="L4" s="1036"/>
      <c r="M4" s="1037"/>
    </row>
    <row r="5" spans="2:152" ht="24.75" customHeight="1" x14ac:dyDescent="0.2">
      <c r="B5" s="1038" t="s">
        <v>0</v>
      </c>
      <c r="C5" s="1039"/>
      <c r="D5" s="1039" t="s">
        <v>7</v>
      </c>
      <c r="E5" s="1039"/>
      <c r="F5" s="1039" t="s">
        <v>6</v>
      </c>
      <c r="G5" s="1039"/>
      <c r="H5" s="1039" t="s">
        <v>5</v>
      </c>
      <c r="I5" s="1039"/>
      <c r="J5" s="1039" t="s">
        <v>4</v>
      </c>
      <c r="K5" s="1039"/>
      <c r="L5" s="1023" t="s">
        <v>3</v>
      </c>
      <c r="M5" s="1024"/>
    </row>
    <row r="6" spans="2:152" ht="39.75" customHeight="1" thickBot="1" x14ac:dyDescent="0.25">
      <c r="B6" s="265" t="s">
        <v>319</v>
      </c>
      <c r="C6" s="266" t="s">
        <v>318</v>
      </c>
      <c r="D6" s="266" t="s">
        <v>319</v>
      </c>
      <c r="E6" s="266" t="s">
        <v>318</v>
      </c>
      <c r="F6" s="266" t="s">
        <v>319</v>
      </c>
      <c r="G6" s="266" t="s">
        <v>318</v>
      </c>
      <c r="H6" s="266" t="s">
        <v>319</v>
      </c>
      <c r="I6" s="266" t="s">
        <v>318</v>
      </c>
      <c r="J6" s="266" t="s">
        <v>319</v>
      </c>
      <c r="K6" s="266" t="s">
        <v>318</v>
      </c>
      <c r="L6" s="1040"/>
      <c r="M6" s="1041"/>
    </row>
    <row r="7" spans="2:152" ht="27" customHeight="1" x14ac:dyDescent="0.2">
      <c r="B7" s="258"/>
      <c r="C7" s="259"/>
      <c r="D7" s="259"/>
      <c r="E7" s="259"/>
      <c r="F7" s="259"/>
      <c r="G7" s="259"/>
      <c r="H7" s="259"/>
      <c r="I7" s="259"/>
      <c r="J7" s="259"/>
      <c r="K7" s="259"/>
      <c r="L7" s="1042" t="s">
        <v>1</v>
      </c>
      <c r="M7" s="1043"/>
    </row>
    <row r="8" spans="2:152" ht="30" customHeight="1" x14ac:dyDescent="0.2">
      <c r="B8" s="260"/>
      <c r="C8" s="261"/>
      <c r="D8" s="261"/>
      <c r="E8" s="261"/>
      <c r="F8" s="261"/>
      <c r="G8" s="261"/>
      <c r="H8" s="261"/>
      <c r="I8" s="261"/>
      <c r="J8" s="261"/>
      <c r="K8" s="261"/>
      <c r="L8" s="1044" t="s">
        <v>148</v>
      </c>
      <c r="M8" s="1045"/>
    </row>
    <row r="9" spans="2:152" ht="30" customHeight="1" thickBot="1" x14ac:dyDescent="0.25">
      <c r="B9" s="262"/>
      <c r="C9" s="263"/>
      <c r="D9" s="263"/>
      <c r="E9" s="263"/>
      <c r="F9" s="263"/>
      <c r="G9" s="263"/>
      <c r="H9" s="263"/>
      <c r="I9" s="263"/>
      <c r="J9" s="263"/>
      <c r="K9" s="263"/>
      <c r="L9" s="997" t="s">
        <v>149</v>
      </c>
      <c r="M9" s="998"/>
    </row>
    <row r="10" spans="2:152" ht="3" customHeight="1" thickBot="1" x14ac:dyDescent="0.25">
      <c r="B10" s="361"/>
      <c r="C10" s="586"/>
      <c r="D10" s="586"/>
      <c r="E10" s="586"/>
      <c r="F10" s="586"/>
      <c r="G10" s="586"/>
      <c r="H10" s="586"/>
      <c r="I10" s="586"/>
      <c r="J10" s="586"/>
      <c r="K10" s="586"/>
      <c r="L10" s="587"/>
      <c r="M10" s="362"/>
    </row>
    <row r="11" spans="2:152" ht="24" customHeight="1" x14ac:dyDescent="0.2">
      <c r="B11" s="256"/>
      <c r="C11" s="257"/>
      <c r="D11" s="257"/>
      <c r="E11" s="257"/>
      <c r="F11" s="257"/>
      <c r="G11" s="257"/>
      <c r="H11" s="257"/>
      <c r="I11" s="257"/>
      <c r="J11" s="257"/>
      <c r="K11" s="257"/>
      <c r="L11" s="1003" t="s">
        <v>150</v>
      </c>
      <c r="M11" s="1004"/>
    </row>
    <row r="12" spans="2:152" ht="24" customHeight="1" thickBot="1" x14ac:dyDescent="0.25">
      <c r="B12" s="262"/>
      <c r="C12" s="263"/>
      <c r="D12" s="263"/>
      <c r="E12" s="263"/>
      <c r="F12" s="263"/>
      <c r="G12" s="263"/>
      <c r="H12" s="263"/>
      <c r="I12" s="263"/>
      <c r="J12" s="263"/>
      <c r="K12" s="263"/>
      <c r="L12" s="1005" t="s">
        <v>151</v>
      </c>
      <c r="M12" s="1006"/>
      <c r="EU12" s="99"/>
      <c r="EV12" s="99"/>
    </row>
    <row r="13" spans="2:152" ht="3.75" customHeight="1" thickBot="1" x14ac:dyDescent="0.25">
      <c r="B13" s="361"/>
      <c r="C13" s="586"/>
      <c r="D13" s="586"/>
      <c r="E13" s="586"/>
      <c r="F13" s="586"/>
      <c r="G13" s="586"/>
      <c r="H13" s="586"/>
      <c r="I13" s="586"/>
      <c r="J13" s="586"/>
      <c r="K13" s="586"/>
      <c r="L13" s="151"/>
      <c r="M13" s="363"/>
      <c r="EU13" s="99"/>
      <c r="EV13" s="99"/>
    </row>
    <row r="14" spans="2:152" ht="23.25" customHeight="1" x14ac:dyDescent="0.2">
      <c r="B14" s="256"/>
      <c r="C14" s="257"/>
      <c r="D14" s="257"/>
      <c r="E14" s="257"/>
      <c r="F14" s="257"/>
      <c r="G14" s="257"/>
      <c r="H14" s="257"/>
      <c r="I14" s="257"/>
      <c r="J14" s="257"/>
      <c r="K14" s="257"/>
      <c r="L14" s="1014" t="s">
        <v>8</v>
      </c>
      <c r="M14" s="1015"/>
    </row>
    <row r="15" spans="2:152" ht="20.25" customHeight="1" thickBot="1" x14ac:dyDescent="0.25">
      <c r="B15" s="262"/>
      <c r="C15" s="263"/>
      <c r="D15" s="263"/>
      <c r="E15" s="263"/>
      <c r="F15" s="263"/>
      <c r="G15" s="263"/>
      <c r="H15" s="263"/>
      <c r="I15" s="263"/>
      <c r="J15" s="263"/>
      <c r="K15" s="263"/>
      <c r="L15" s="1016" t="s">
        <v>93</v>
      </c>
      <c r="M15" s="1017"/>
    </row>
    <row r="16" spans="2:152" ht="6.75" customHeight="1" thickBot="1" x14ac:dyDescent="0.25">
      <c r="B16" s="588"/>
      <c r="C16" s="153"/>
      <c r="D16" s="153"/>
      <c r="E16" s="153"/>
      <c r="F16" s="153"/>
      <c r="G16" s="153"/>
      <c r="H16" s="153"/>
      <c r="I16" s="153"/>
      <c r="J16" s="153"/>
      <c r="K16" s="153"/>
      <c r="L16" s="264"/>
      <c r="M16" s="589"/>
    </row>
    <row r="17" spans="1:152" ht="30" customHeight="1" thickBot="1" x14ac:dyDescent="0.25">
      <c r="B17" s="1018" t="s">
        <v>44</v>
      </c>
      <c r="C17" s="1019"/>
      <c r="D17" s="1019"/>
      <c r="E17" s="1019"/>
      <c r="F17" s="1019"/>
      <c r="G17" s="1019"/>
      <c r="H17" s="1019"/>
      <c r="I17" s="1019"/>
      <c r="J17" s="1019"/>
      <c r="K17" s="1019"/>
      <c r="L17" s="1019"/>
      <c r="M17" s="1020"/>
    </row>
    <row r="18" spans="1:152" ht="39" customHeight="1" x14ac:dyDescent="0.2">
      <c r="B18" s="1021" t="s">
        <v>0</v>
      </c>
      <c r="C18" s="1022"/>
      <c r="D18" s="1022" t="s">
        <v>68</v>
      </c>
      <c r="E18" s="1022"/>
      <c r="F18" s="1022" t="s">
        <v>10</v>
      </c>
      <c r="G18" s="1022"/>
      <c r="H18" s="1022" t="s">
        <v>9</v>
      </c>
      <c r="I18" s="1022"/>
      <c r="J18" s="1022" t="s">
        <v>69</v>
      </c>
      <c r="K18" s="1022"/>
      <c r="L18" s="1023" t="s">
        <v>3</v>
      </c>
      <c r="M18" s="1024"/>
    </row>
    <row r="19" spans="1:152" ht="36.75" customHeight="1" thickBot="1" x14ac:dyDescent="0.25">
      <c r="B19" s="265" t="s">
        <v>319</v>
      </c>
      <c r="C19" s="266" t="s">
        <v>318</v>
      </c>
      <c r="D19" s="266" t="s">
        <v>319</v>
      </c>
      <c r="E19" s="266" t="s">
        <v>318</v>
      </c>
      <c r="F19" s="266" t="s">
        <v>319</v>
      </c>
      <c r="G19" s="266" t="s">
        <v>318</v>
      </c>
      <c r="H19" s="266" t="s">
        <v>319</v>
      </c>
      <c r="I19" s="266" t="s">
        <v>318</v>
      </c>
      <c r="J19" s="266" t="s">
        <v>319</v>
      </c>
      <c r="K19" s="266" t="s">
        <v>318</v>
      </c>
      <c r="L19" s="1025"/>
      <c r="M19" s="1026"/>
    </row>
    <row r="20" spans="1:152" ht="27.75" customHeight="1" thickBot="1" x14ac:dyDescent="0.25">
      <c r="A20" s="98"/>
      <c r="B20" s="282">
        <f t="shared" ref="B20:C20" si="0">SUM(B21:B24)</f>
        <v>49</v>
      </c>
      <c r="C20" s="298">
        <f t="shared" si="0"/>
        <v>50</v>
      </c>
      <c r="D20" s="298">
        <f t="shared" ref="D20:J20" si="1">SUM(D21:D24)</f>
        <v>13</v>
      </c>
      <c r="E20" s="298">
        <f t="shared" si="1"/>
        <v>14</v>
      </c>
      <c r="F20" s="298">
        <f t="shared" si="1"/>
        <v>1</v>
      </c>
      <c r="G20" s="298">
        <f t="shared" si="1"/>
        <v>1</v>
      </c>
      <c r="H20" s="298">
        <f t="shared" si="1"/>
        <v>17</v>
      </c>
      <c r="I20" s="298">
        <f t="shared" si="1"/>
        <v>17</v>
      </c>
      <c r="J20" s="298">
        <f t="shared" si="1"/>
        <v>18</v>
      </c>
      <c r="K20" s="298">
        <f>SUM(K21:K24)</f>
        <v>18</v>
      </c>
      <c r="L20" s="993" t="s">
        <v>1</v>
      </c>
      <c r="M20" s="994"/>
      <c r="EU20" s="99"/>
      <c r="EV20" s="99"/>
    </row>
    <row r="21" spans="1:152" ht="24.75" customHeight="1" thickTop="1" x14ac:dyDescent="0.2">
      <c r="A21" s="98"/>
      <c r="B21" s="258">
        <f t="shared" ref="B21:C24" si="2">J21+H21+F21+D21</f>
        <v>7</v>
      </c>
      <c r="C21" s="259">
        <f t="shared" si="2"/>
        <v>7</v>
      </c>
      <c r="D21" s="259">
        <v>0</v>
      </c>
      <c r="E21" s="259">
        <v>0</v>
      </c>
      <c r="F21" s="259">
        <v>0</v>
      </c>
      <c r="G21" s="259">
        <v>0</v>
      </c>
      <c r="H21" s="259">
        <v>2</v>
      </c>
      <c r="I21" s="259">
        <v>2</v>
      </c>
      <c r="J21" s="259">
        <v>5</v>
      </c>
      <c r="K21" s="259">
        <v>5</v>
      </c>
      <c r="L21" s="995" t="s">
        <v>148</v>
      </c>
      <c r="M21" s="996"/>
    </row>
    <row r="22" spans="1:152" ht="24.75" customHeight="1" thickBot="1" x14ac:dyDescent="0.25">
      <c r="A22" s="98"/>
      <c r="B22" s="360">
        <f t="shared" si="2"/>
        <v>3</v>
      </c>
      <c r="C22" s="359">
        <f t="shared" si="2"/>
        <v>3</v>
      </c>
      <c r="D22" s="263">
        <v>0</v>
      </c>
      <c r="E22" s="263">
        <v>0</v>
      </c>
      <c r="F22" s="263">
        <v>0</v>
      </c>
      <c r="G22" s="263">
        <v>0</v>
      </c>
      <c r="H22" s="263">
        <v>2</v>
      </c>
      <c r="I22" s="263">
        <v>2</v>
      </c>
      <c r="J22" s="263">
        <v>1</v>
      </c>
      <c r="K22" s="263">
        <v>1</v>
      </c>
      <c r="L22" s="997" t="s">
        <v>149</v>
      </c>
      <c r="M22" s="998"/>
    </row>
    <row r="23" spans="1:152" ht="18.75" customHeight="1" x14ac:dyDescent="0.2">
      <c r="A23" s="98"/>
      <c r="B23" s="256">
        <f t="shared" si="2"/>
        <v>22</v>
      </c>
      <c r="C23" s="257">
        <f t="shared" si="2"/>
        <v>22</v>
      </c>
      <c r="D23" s="257">
        <v>11</v>
      </c>
      <c r="E23" s="257">
        <v>11</v>
      </c>
      <c r="F23" s="257">
        <v>0</v>
      </c>
      <c r="G23" s="257">
        <v>0</v>
      </c>
      <c r="H23" s="257">
        <v>6</v>
      </c>
      <c r="I23" s="257">
        <v>6</v>
      </c>
      <c r="J23" s="257">
        <v>5</v>
      </c>
      <c r="K23" s="257">
        <v>5</v>
      </c>
      <c r="L23" s="999" t="s">
        <v>253</v>
      </c>
      <c r="M23" s="1000"/>
    </row>
    <row r="24" spans="1:152" ht="24.75" customHeight="1" thickBot="1" x14ac:dyDescent="0.25">
      <c r="A24" s="98"/>
      <c r="B24" s="360">
        <f t="shared" si="2"/>
        <v>17</v>
      </c>
      <c r="C24" s="359">
        <f t="shared" si="2"/>
        <v>18</v>
      </c>
      <c r="D24" s="263">
        <v>2</v>
      </c>
      <c r="E24" s="263">
        <v>3</v>
      </c>
      <c r="F24" s="263">
        <v>1</v>
      </c>
      <c r="G24" s="263">
        <v>1</v>
      </c>
      <c r="H24" s="263">
        <v>7</v>
      </c>
      <c r="I24" s="263">
        <v>7</v>
      </c>
      <c r="J24" s="263">
        <v>7</v>
      </c>
      <c r="K24" s="263">
        <v>7</v>
      </c>
      <c r="L24" s="1001" t="s">
        <v>136</v>
      </c>
      <c r="M24" s="1002"/>
    </row>
    <row r="25" spans="1:152" ht="12.75" customHeight="1" thickBot="1" x14ac:dyDescent="0.25">
      <c r="A25" s="98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4"/>
      <c r="M25" s="264"/>
    </row>
    <row r="26" spans="1:152" ht="23.25" customHeight="1" x14ac:dyDescent="0.2">
      <c r="A26" s="98"/>
      <c r="B26" s="256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1003" t="s">
        <v>150</v>
      </c>
      <c r="M26" s="1004"/>
    </row>
    <row r="27" spans="1:152" ht="23.25" customHeight="1" thickBot="1" x14ac:dyDescent="0.25">
      <c r="A27" s="98"/>
      <c r="B27" s="262">
        <v>1</v>
      </c>
      <c r="C27" s="263">
        <v>1</v>
      </c>
      <c r="D27" s="263">
        <v>1</v>
      </c>
      <c r="E27" s="263">
        <v>1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1005" t="s">
        <v>151</v>
      </c>
      <c r="M27" s="1006"/>
    </row>
    <row r="28" spans="1:152" ht="10.5" customHeight="1" thickBot="1" x14ac:dyDescent="0.25">
      <c r="B28" s="153"/>
      <c r="C28" s="153"/>
      <c r="D28" s="153"/>
      <c r="E28" s="153" t="s">
        <v>297</v>
      </c>
      <c r="F28" s="153"/>
      <c r="G28" s="153"/>
      <c r="H28" s="153"/>
      <c r="I28" s="153"/>
      <c r="J28" s="153"/>
      <c r="K28" s="153"/>
      <c r="L28" s="151"/>
      <c r="M28" s="151"/>
    </row>
    <row r="29" spans="1:152" ht="40.5" customHeight="1" x14ac:dyDescent="0.2">
      <c r="B29" s="1007" t="s">
        <v>379</v>
      </c>
      <c r="C29" s="1008"/>
      <c r="D29" s="1008"/>
      <c r="E29" s="1008"/>
      <c r="F29" s="1008"/>
      <c r="G29" s="1008"/>
      <c r="H29" s="1008"/>
      <c r="I29" s="1008"/>
      <c r="J29" s="1008"/>
      <c r="K29" s="1008"/>
      <c r="L29" s="1008"/>
      <c r="M29" s="1009"/>
    </row>
    <row r="30" spans="1:152" ht="24" customHeight="1" thickBot="1" x14ac:dyDescent="0.25">
      <c r="B30" s="1010" t="s">
        <v>358</v>
      </c>
      <c r="C30" s="1011"/>
      <c r="D30" s="1011"/>
      <c r="E30" s="1011"/>
      <c r="F30" s="1011"/>
      <c r="G30" s="1011"/>
      <c r="H30" s="1011"/>
      <c r="I30" s="1012"/>
      <c r="J30" s="1005" t="s">
        <v>335</v>
      </c>
      <c r="K30" s="1013"/>
      <c r="L30" s="1013"/>
      <c r="M30" s="1006"/>
    </row>
    <row r="32" spans="1:152" x14ac:dyDescent="0.7"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</row>
    <row r="33" spans="2:13" x14ac:dyDescent="0.7"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</row>
  </sheetData>
  <mergeCells count="37">
    <mergeCell ref="L12:M12"/>
    <mergeCell ref="B2:K2"/>
    <mergeCell ref="L2:M2"/>
    <mergeCell ref="B3:K3"/>
    <mergeCell ref="L3:M3"/>
    <mergeCell ref="B4:M4"/>
    <mergeCell ref="B5:C5"/>
    <mergeCell ref="D5:E5"/>
    <mergeCell ref="F5:G5"/>
    <mergeCell ref="H5:I5"/>
    <mergeCell ref="J5:K5"/>
    <mergeCell ref="L5:M6"/>
    <mergeCell ref="L7:M7"/>
    <mergeCell ref="L8:M8"/>
    <mergeCell ref="L9:M9"/>
    <mergeCell ref="L11:M11"/>
    <mergeCell ref="L14:M14"/>
    <mergeCell ref="L15:M15"/>
    <mergeCell ref="B17:M17"/>
    <mergeCell ref="B18:C18"/>
    <mergeCell ref="D18:E18"/>
    <mergeCell ref="F18:G18"/>
    <mergeCell ref="H18:I18"/>
    <mergeCell ref="J18:K18"/>
    <mergeCell ref="L18:M19"/>
    <mergeCell ref="B33:M33"/>
    <mergeCell ref="L20:M20"/>
    <mergeCell ref="L21:M21"/>
    <mergeCell ref="L22:M22"/>
    <mergeCell ref="L23:M23"/>
    <mergeCell ref="L24:M24"/>
    <mergeCell ref="L26:M26"/>
    <mergeCell ref="L27:M27"/>
    <mergeCell ref="B29:M29"/>
    <mergeCell ref="B30:I30"/>
    <mergeCell ref="J30:M30"/>
    <mergeCell ref="B32:M32"/>
  </mergeCells>
  <printOptions horizontalCentered="1"/>
  <pageMargins left="0.23622047244094491" right="0.27559055118110237" top="0.19685039370078741" bottom="0.23622047244094491" header="0.15748031496062992" footer="0.19685039370078741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S28"/>
  <sheetViews>
    <sheetView workbookViewId="0">
      <selection activeCell="S13" sqref="S13"/>
    </sheetView>
  </sheetViews>
  <sheetFormatPr defaultColWidth="9.140625" defaultRowHeight="23.25" x14ac:dyDescent="0.7"/>
  <cols>
    <col min="1" max="1" width="0.7109375" style="99" customWidth="1"/>
    <col min="2" max="13" width="10" style="255" customWidth="1"/>
    <col min="14" max="14" width="20.140625" style="255" customWidth="1"/>
    <col min="15" max="15" width="17.42578125" style="255" customWidth="1"/>
    <col min="16" max="16" width="3.85546875" style="255" customWidth="1"/>
    <col min="17" max="29" width="9.140625" style="255" customWidth="1"/>
    <col min="30" max="45" width="9.140625" style="101" customWidth="1"/>
    <col min="46" max="16384" width="9.140625" style="99"/>
  </cols>
  <sheetData>
    <row r="1" spans="2:15" ht="12" customHeight="1" thickBot="1" x14ac:dyDescent="0.75"/>
    <row r="2" spans="2:15" ht="21.75" customHeight="1" x14ac:dyDescent="0.7">
      <c r="B2" s="269"/>
      <c r="C2" s="270"/>
      <c r="D2" s="270"/>
      <c r="E2" s="270"/>
      <c r="F2" s="270"/>
      <c r="G2" s="270"/>
      <c r="H2" s="676" t="s">
        <v>334</v>
      </c>
      <c r="I2" s="676"/>
      <c r="J2" s="676"/>
      <c r="K2" s="676"/>
      <c r="L2" s="676"/>
      <c r="M2" s="677"/>
      <c r="N2" s="670" t="s">
        <v>307</v>
      </c>
      <c r="O2" s="671"/>
    </row>
    <row r="3" spans="2:15" ht="21.75" customHeight="1" thickBot="1" x14ac:dyDescent="0.75">
      <c r="B3" s="271"/>
      <c r="C3" s="272"/>
      <c r="D3" s="272"/>
      <c r="E3" s="272"/>
      <c r="F3" s="272"/>
      <c r="G3" s="272"/>
      <c r="H3" s="678" t="s">
        <v>331</v>
      </c>
      <c r="I3" s="678"/>
      <c r="J3" s="678"/>
      <c r="K3" s="678"/>
      <c r="L3" s="678"/>
      <c r="M3" s="679"/>
      <c r="N3" s="674" t="s">
        <v>290</v>
      </c>
      <c r="O3" s="675"/>
    </row>
    <row r="4" spans="2:15" ht="21.75" customHeight="1" thickBot="1" x14ac:dyDescent="0.75">
      <c r="B4" s="273"/>
      <c r="C4" s="274"/>
      <c r="D4" s="274"/>
      <c r="E4" s="274"/>
      <c r="F4" s="274"/>
      <c r="G4" s="274"/>
      <c r="H4" s="275"/>
      <c r="I4" s="275"/>
      <c r="J4" s="275"/>
      <c r="K4" s="275"/>
      <c r="L4" s="275"/>
      <c r="M4" s="276"/>
      <c r="N4" s="277"/>
      <c r="O4" s="278"/>
    </row>
    <row r="5" spans="2:15" ht="21.75" customHeight="1" thickBot="1" x14ac:dyDescent="0.75">
      <c r="B5" s="666" t="s">
        <v>1</v>
      </c>
      <c r="C5" s="667"/>
      <c r="D5" s="668" t="s">
        <v>10</v>
      </c>
      <c r="E5" s="669"/>
      <c r="F5" s="668" t="s">
        <v>9</v>
      </c>
      <c r="G5" s="669"/>
      <c r="H5" s="670" t="s">
        <v>121</v>
      </c>
      <c r="I5" s="671"/>
      <c r="J5" s="670" t="s">
        <v>122</v>
      </c>
      <c r="K5" s="671"/>
      <c r="L5" s="670" t="s">
        <v>123</v>
      </c>
      <c r="M5" s="671"/>
      <c r="N5" s="279" t="s">
        <v>124</v>
      </c>
      <c r="O5" s="672" t="s">
        <v>125</v>
      </c>
    </row>
    <row r="6" spans="2:15" ht="21.75" customHeight="1" thickBot="1" x14ac:dyDescent="0.75">
      <c r="B6" s="280" t="s">
        <v>320</v>
      </c>
      <c r="C6" s="281" t="s">
        <v>303</v>
      </c>
      <c r="D6" s="280" t="s">
        <v>320</v>
      </c>
      <c r="E6" s="281" t="s">
        <v>303</v>
      </c>
      <c r="F6" s="280" t="s">
        <v>320</v>
      </c>
      <c r="G6" s="281" t="s">
        <v>303</v>
      </c>
      <c r="H6" s="280" t="s">
        <v>320</v>
      </c>
      <c r="I6" s="281" t="s">
        <v>303</v>
      </c>
      <c r="J6" s="280" t="s">
        <v>320</v>
      </c>
      <c r="K6" s="281" t="s">
        <v>303</v>
      </c>
      <c r="L6" s="280" t="s">
        <v>320</v>
      </c>
      <c r="M6" s="281" t="s">
        <v>303</v>
      </c>
      <c r="N6" s="404" t="s">
        <v>134</v>
      </c>
      <c r="O6" s="673"/>
    </row>
    <row r="7" spans="2:15" ht="21.75" customHeight="1" thickBot="1" x14ac:dyDescent="0.75">
      <c r="B7" s="393"/>
      <c r="C7" s="416"/>
      <c r="D7" s="393"/>
      <c r="E7" s="392"/>
      <c r="F7" s="393"/>
      <c r="G7" s="400"/>
      <c r="H7" s="410"/>
      <c r="I7" s="392"/>
      <c r="J7" s="391"/>
      <c r="K7" s="392"/>
      <c r="L7" s="393"/>
      <c r="M7" s="392"/>
      <c r="N7" s="405" t="s">
        <v>0</v>
      </c>
      <c r="O7" s="653" t="s">
        <v>133</v>
      </c>
    </row>
    <row r="8" spans="2:15" ht="21.75" customHeight="1" thickTop="1" x14ac:dyDescent="0.7">
      <c r="B8" s="394"/>
      <c r="C8" s="417"/>
      <c r="D8" s="394"/>
      <c r="E8" s="285"/>
      <c r="F8" s="394"/>
      <c r="G8" s="259"/>
      <c r="H8" s="411"/>
      <c r="I8" s="285"/>
      <c r="J8" s="394"/>
      <c r="K8" s="284"/>
      <c r="L8" s="394"/>
      <c r="M8" s="285"/>
      <c r="N8" s="390" t="s">
        <v>143</v>
      </c>
      <c r="O8" s="654"/>
    </row>
    <row r="9" spans="2:15" ht="21.75" customHeight="1" x14ac:dyDescent="0.7">
      <c r="B9" s="394"/>
      <c r="C9" s="418"/>
      <c r="D9" s="394"/>
      <c r="E9" s="285"/>
      <c r="F9" s="394"/>
      <c r="G9" s="261"/>
      <c r="H9" s="412"/>
      <c r="I9" s="286"/>
      <c r="J9" s="394"/>
      <c r="K9" s="285"/>
      <c r="L9" s="394"/>
      <c r="M9" s="286"/>
      <c r="N9" s="390" t="s">
        <v>126</v>
      </c>
      <c r="O9" s="655"/>
    </row>
    <row r="10" spans="2:15" ht="21.75" customHeight="1" x14ac:dyDescent="0.7">
      <c r="B10" s="395"/>
      <c r="C10" s="418"/>
      <c r="D10" s="395"/>
      <c r="E10" s="286"/>
      <c r="F10" s="395"/>
      <c r="G10" s="261"/>
      <c r="H10" s="412"/>
      <c r="I10" s="286"/>
      <c r="J10" s="395"/>
      <c r="K10" s="286"/>
      <c r="L10" s="395"/>
      <c r="M10" s="286"/>
      <c r="N10" s="406" t="s">
        <v>127</v>
      </c>
      <c r="O10" s="655"/>
    </row>
    <row r="11" spans="2:15" ht="21.75" customHeight="1" x14ac:dyDescent="0.7">
      <c r="B11" s="395"/>
      <c r="C11" s="418"/>
      <c r="D11" s="395"/>
      <c r="E11" s="286"/>
      <c r="F11" s="395"/>
      <c r="G11" s="261"/>
      <c r="H11" s="412"/>
      <c r="I11" s="286"/>
      <c r="J11" s="395"/>
      <c r="K11" s="286"/>
      <c r="L11" s="395"/>
      <c r="M11" s="286"/>
      <c r="N11" s="406" t="s">
        <v>128</v>
      </c>
      <c r="O11" s="655"/>
    </row>
    <row r="12" spans="2:15" ht="21.75" customHeight="1" x14ac:dyDescent="0.7">
      <c r="B12" s="395"/>
      <c r="C12" s="418"/>
      <c r="D12" s="395"/>
      <c r="E12" s="286"/>
      <c r="F12" s="395"/>
      <c r="G12" s="261"/>
      <c r="H12" s="412"/>
      <c r="I12" s="286"/>
      <c r="J12" s="395"/>
      <c r="K12" s="286"/>
      <c r="L12" s="395"/>
      <c r="M12" s="286"/>
      <c r="N12" s="406" t="s">
        <v>129</v>
      </c>
      <c r="O12" s="655"/>
    </row>
    <row r="13" spans="2:15" ht="21.75" customHeight="1" thickBot="1" x14ac:dyDescent="0.75">
      <c r="B13" s="357"/>
      <c r="C13" s="419"/>
      <c r="D13" s="357"/>
      <c r="E13" s="287"/>
      <c r="F13" s="357"/>
      <c r="G13" s="401"/>
      <c r="H13" s="413"/>
      <c r="I13" s="408"/>
      <c r="J13" s="357"/>
      <c r="K13" s="287"/>
      <c r="L13" s="357"/>
      <c r="M13" s="408"/>
      <c r="N13" s="294" t="s">
        <v>130</v>
      </c>
      <c r="O13" s="656"/>
    </row>
    <row r="14" spans="2:15" ht="21.75" customHeight="1" thickBot="1" x14ac:dyDescent="0.75">
      <c r="B14" s="409"/>
      <c r="C14" s="288"/>
      <c r="D14" s="396"/>
      <c r="E14" s="288"/>
      <c r="F14" s="396"/>
      <c r="G14" s="288"/>
      <c r="H14" s="396"/>
      <c r="I14" s="288"/>
      <c r="J14" s="396"/>
      <c r="K14" s="288"/>
      <c r="L14" s="409"/>
      <c r="M14" s="288"/>
      <c r="N14" s="407" t="s">
        <v>0</v>
      </c>
      <c r="O14" s="653" t="s">
        <v>132</v>
      </c>
    </row>
    <row r="15" spans="2:15" ht="21.75" customHeight="1" thickTop="1" x14ac:dyDescent="0.7">
      <c r="B15" s="397"/>
      <c r="C15" s="291"/>
      <c r="D15" s="397"/>
      <c r="E15" s="290"/>
      <c r="F15" s="397"/>
      <c r="G15" s="402"/>
      <c r="H15" s="414"/>
      <c r="I15" s="291"/>
      <c r="J15" s="397"/>
      <c r="K15" s="290"/>
      <c r="L15" s="397"/>
      <c r="M15" s="291"/>
      <c r="N15" s="390" t="s">
        <v>126</v>
      </c>
      <c r="O15" s="654"/>
    </row>
    <row r="16" spans="2:15" ht="21.75" customHeight="1" x14ac:dyDescent="0.7">
      <c r="B16" s="397"/>
      <c r="C16" s="291"/>
      <c r="D16" s="289"/>
      <c r="E16" s="291"/>
      <c r="F16" s="398"/>
      <c r="G16" s="402"/>
      <c r="H16" s="398"/>
      <c r="I16" s="291"/>
      <c r="J16" s="398"/>
      <c r="K16" s="291"/>
      <c r="L16" s="398"/>
      <c r="M16" s="291"/>
      <c r="N16" s="406" t="s">
        <v>127</v>
      </c>
      <c r="O16" s="654"/>
    </row>
    <row r="17" spans="2:15" ht="21.75" customHeight="1" x14ac:dyDescent="0.7">
      <c r="B17" s="397"/>
      <c r="C17" s="291"/>
      <c r="D17" s="289"/>
      <c r="E17" s="291"/>
      <c r="F17" s="398"/>
      <c r="G17" s="402"/>
      <c r="H17" s="398"/>
      <c r="I17" s="291"/>
      <c r="J17" s="398"/>
      <c r="K17" s="291"/>
      <c r="L17" s="398"/>
      <c r="M17" s="291"/>
      <c r="N17" s="406" t="s">
        <v>128</v>
      </c>
      <c r="O17" s="654"/>
    </row>
    <row r="18" spans="2:15" ht="21.75" customHeight="1" x14ac:dyDescent="0.7">
      <c r="B18" s="397"/>
      <c r="C18" s="291"/>
      <c r="D18" s="289"/>
      <c r="E18" s="291"/>
      <c r="F18" s="398"/>
      <c r="G18" s="402"/>
      <c r="H18" s="398"/>
      <c r="I18" s="291"/>
      <c r="J18" s="289"/>
      <c r="K18" s="291"/>
      <c r="L18" s="398"/>
      <c r="M18" s="291"/>
      <c r="N18" s="406" t="s">
        <v>129</v>
      </c>
      <c r="O18" s="654"/>
    </row>
    <row r="19" spans="2:15" ht="21.75" customHeight="1" thickBot="1" x14ac:dyDescent="0.75">
      <c r="B19" s="415"/>
      <c r="C19" s="293"/>
      <c r="D19" s="292"/>
      <c r="E19" s="293"/>
      <c r="F19" s="399"/>
      <c r="G19" s="403"/>
      <c r="H19" s="399"/>
      <c r="I19" s="293"/>
      <c r="J19" s="292"/>
      <c r="K19" s="293"/>
      <c r="L19" s="399"/>
      <c r="M19" s="293"/>
      <c r="N19" s="294" t="s">
        <v>130</v>
      </c>
      <c r="O19" s="657"/>
    </row>
    <row r="20" spans="2:15" ht="7.5" customHeight="1" thickBot="1" x14ac:dyDescent="0.75"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97"/>
    </row>
    <row r="21" spans="2:15" ht="21.75" customHeight="1" thickBot="1" x14ac:dyDescent="0.75">
      <c r="B21" s="282"/>
      <c r="C21" s="420"/>
      <c r="D21" s="282"/>
      <c r="E21" s="283"/>
      <c r="F21" s="424"/>
      <c r="G21" s="420"/>
      <c r="H21" s="282"/>
      <c r="I21" s="283"/>
      <c r="J21" s="424"/>
      <c r="K21" s="420"/>
      <c r="L21" s="282"/>
      <c r="M21" s="283"/>
      <c r="N21" s="658" t="s">
        <v>18</v>
      </c>
      <c r="O21" s="659"/>
    </row>
    <row r="22" spans="2:15" ht="21.75" customHeight="1" thickTop="1" x14ac:dyDescent="0.7">
      <c r="B22" s="258"/>
      <c r="C22" s="421"/>
      <c r="D22" s="258"/>
      <c r="E22" s="285"/>
      <c r="F22" s="425"/>
      <c r="G22" s="421"/>
      <c r="H22" s="258"/>
      <c r="I22" s="285"/>
      <c r="J22" s="425"/>
      <c r="K22" s="421"/>
      <c r="L22" s="258"/>
      <c r="M22" s="285"/>
      <c r="N22" s="660" t="s">
        <v>258</v>
      </c>
      <c r="O22" s="661"/>
    </row>
    <row r="23" spans="2:15" ht="21.75" customHeight="1" x14ac:dyDescent="0.7">
      <c r="B23" s="260"/>
      <c r="C23" s="422"/>
      <c r="D23" s="260"/>
      <c r="E23" s="286"/>
      <c r="F23" s="426"/>
      <c r="G23" s="422"/>
      <c r="H23" s="260"/>
      <c r="I23" s="286"/>
      <c r="J23" s="426"/>
      <c r="K23" s="422"/>
      <c r="L23" s="260"/>
      <c r="M23" s="286"/>
      <c r="N23" s="662" t="s">
        <v>135</v>
      </c>
      <c r="O23" s="663"/>
    </row>
    <row r="24" spans="2:15" ht="21.75" customHeight="1" thickBot="1" x14ac:dyDescent="0.75">
      <c r="B24" s="262"/>
      <c r="C24" s="423"/>
      <c r="D24" s="262"/>
      <c r="E24" s="287"/>
      <c r="F24" s="358"/>
      <c r="G24" s="423"/>
      <c r="H24" s="262"/>
      <c r="I24" s="287"/>
      <c r="J24" s="358"/>
      <c r="K24" s="423"/>
      <c r="L24" s="262"/>
      <c r="M24" s="287"/>
      <c r="N24" s="664" t="s">
        <v>237</v>
      </c>
      <c r="O24" s="665"/>
    </row>
    <row r="25" spans="2:15" ht="49.5" customHeight="1" thickBot="1" x14ac:dyDescent="0.75">
      <c r="B25" s="646" t="s">
        <v>131</v>
      </c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</row>
    <row r="26" spans="2:15" ht="21.75" customHeight="1" thickBot="1" x14ac:dyDescent="0.75">
      <c r="B26" s="649" t="s">
        <v>328</v>
      </c>
      <c r="C26" s="650"/>
      <c r="D26" s="650"/>
      <c r="E26" s="650"/>
      <c r="F26" s="650"/>
      <c r="G26" s="650"/>
      <c r="H26" s="650"/>
      <c r="I26" s="275"/>
      <c r="J26" s="275"/>
      <c r="K26" s="275"/>
      <c r="L26" s="275"/>
      <c r="M26" s="275"/>
      <c r="N26" s="651" t="s">
        <v>327</v>
      </c>
      <c r="O26" s="652"/>
    </row>
    <row r="27" spans="2:15" x14ac:dyDescent="0.7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x14ac:dyDescent="0.7">
      <c r="O28" s="268"/>
    </row>
  </sheetData>
  <mergeCells count="20">
    <mergeCell ref="O5:O6"/>
    <mergeCell ref="N2:O2"/>
    <mergeCell ref="N3:O3"/>
    <mergeCell ref="H2:M2"/>
    <mergeCell ref="H3:M3"/>
    <mergeCell ref="L5:M5"/>
    <mergeCell ref="B5:C5"/>
    <mergeCell ref="D5:E5"/>
    <mergeCell ref="F5:G5"/>
    <mergeCell ref="H5:I5"/>
    <mergeCell ref="J5:K5"/>
    <mergeCell ref="B25:O25"/>
    <mergeCell ref="B26:H26"/>
    <mergeCell ref="N26:O26"/>
    <mergeCell ref="O7:O13"/>
    <mergeCell ref="O14:O19"/>
    <mergeCell ref="N21:O21"/>
    <mergeCell ref="N22:O22"/>
    <mergeCell ref="N23:O23"/>
    <mergeCell ref="N24:O24"/>
  </mergeCells>
  <pageMargins left="0.70866141732283472" right="0.70866141732283472" top="0.32" bottom="0.3" header="0.31496062992125984" footer="0.31496062992125984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zoomScale="90" zoomScaleNormal="90" workbookViewId="0">
      <pane ySplit="6" topLeftCell="A7" activePane="bottomLeft" state="frozen"/>
      <selection activeCell="I7" sqref="I7"/>
      <selection pane="bottomLeft" activeCell="C28" sqref="C28:H29"/>
    </sheetView>
  </sheetViews>
  <sheetFormatPr defaultRowHeight="23.25" x14ac:dyDescent="0.7"/>
  <cols>
    <col min="1" max="1" width="0.7109375" style="300" customWidth="1"/>
    <col min="2" max="7" width="16.28515625" style="2" customWidth="1"/>
    <col min="8" max="8" width="12.42578125" style="2" customWidth="1"/>
    <col min="9" max="9" width="20.7109375" style="2" customWidth="1"/>
    <col min="10" max="10" width="20.42578125" style="2" customWidth="1"/>
    <col min="11" max="11" width="23.7109375" style="2" customWidth="1"/>
    <col min="12" max="12" width="9.140625" style="301" customWidth="1"/>
    <col min="13" max="13" width="11.85546875" customWidth="1"/>
    <col min="14" max="15" width="11.28515625" customWidth="1"/>
    <col min="16" max="16" width="11.42578125" customWidth="1"/>
    <col min="17" max="17" width="11.5703125" customWidth="1"/>
    <col min="18" max="18" width="14.140625" customWidth="1"/>
  </cols>
  <sheetData>
    <row r="1" spans="1:11" ht="12" customHeight="1" thickBot="1" x14ac:dyDescent="0.75"/>
    <row r="2" spans="1:11" ht="24.95" customHeight="1" x14ac:dyDescent="0.45">
      <c r="B2" s="302"/>
      <c r="C2" s="303"/>
      <c r="D2" s="303"/>
      <c r="E2" s="303"/>
      <c r="F2" s="1077" t="s">
        <v>329</v>
      </c>
      <c r="G2" s="1077"/>
      <c r="H2" s="1077"/>
      <c r="I2" s="1078" t="s">
        <v>311</v>
      </c>
      <c r="J2" s="1079"/>
      <c r="K2" s="1080"/>
    </row>
    <row r="3" spans="1:11" ht="29.25" customHeight="1" x14ac:dyDescent="0.45">
      <c r="B3" s="304"/>
      <c r="C3" s="305"/>
      <c r="D3" s="305"/>
      <c r="E3" s="305"/>
      <c r="F3" s="1081" t="s">
        <v>331</v>
      </c>
      <c r="G3" s="1081"/>
      <c r="H3" s="1081"/>
      <c r="I3" s="1082" t="s">
        <v>291</v>
      </c>
      <c r="J3" s="1083"/>
      <c r="K3" s="1084"/>
    </row>
    <row r="4" spans="1:11" ht="24" customHeight="1" thickBot="1" x14ac:dyDescent="0.85">
      <c r="B4" s="1071" t="s">
        <v>21</v>
      </c>
      <c r="C4" s="1072"/>
      <c r="D4" s="610"/>
      <c r="E4" s="610"/>
      <c r="F4" s="306"/>
      <c r="G4" s="306"/>
      <c r="H4" s="307"/>
      <c r="I4" s="1073" t="s">
        <v>145</v>
      </c>
      <c r="J4" s="1074"/>
      <c r="K4" s="1075"/>
    </row>
    <row r="5" spans="1:11" ht="24.75" customHeight="1" thickBot="1" x14ac:dyDescent="0.5">
      <c r="B5" s="1085" t="s">
        <v>321</v>
      </c>
      <c r="C5" s="1087" t="s">
        <v>303</v>
      </c>
      <c r="D5" s="1088"/>
      <c r="E5" s="1088"/>
      <c r="F5" s="1088"/>
      <c r="G5" s="1089"/>
      <c r="H5" s="1090" t="s">
        <v>12</v>
      </c>
      <c r="I5" s="1091"/>
      <c r="J5" s="1094" t="s">
        <v>186</v>
      </c>
      <c r="K5" s="1096" t="s">
        <v>144</v>
      </c>
    </row>
    <row r="6" spans="1:11" ht="51.75" customHeight="1" thickBot="1" x14ac:dyDescent="0.5">
      <c r="B6" s="1086"/>
      <c r="C6" s="308" t="s">
        <v>38</v>
      </c>
      <c r="D6" s="309" t="s">
        <v>106</v>
      </c>
      <c r="E6" s="310" t="s">
        <v>37</v>
      </c>
      <c r="F6" s="310" t="s">
        <v>146</v>
      </c>
      <c r="G6" s="311" t="s">
        <v>39</v>
      </c>
      <c r="H6" s="1092"/>
      <c r="I6" s="1093"/>
      <c r="J6" s="1095"/>
      <c r="K6" s="1097"/>
    </row>
    <row r="7" spans="1:11" ht="39.75" customHeight="1" thickBot="1" x14ac:dyDescent="0.5">
      <c r="B7" s="366">
        <f t="shared" ref="B7:G7" si="0">B8+B16</f>
        <v>0</v>
      </c>
      <c r="C7" s="370">
        <f t="shared" si="0"/>
        <v>298288</v>
      </c>
      <c r="D7" s="365">
        <f t="shared" si="0"/>
        <v>0</v>
      </c>
      <c r="E7" s="365">
        <f t="shared" si="0"/>
        <v>242827</v>
      </c>
      <c r="F7" s="364">
        <f t="shared" si="0"/>
        <v>437352</v>
      </c>
      <c r="G7" s="312">
        <f t="shared" si="0"/>
        <v>103763</v>
      </c>
      <c r="H7" s="1059" t="s">
        <v>32</v>
      </c>
      <c r="I7" s="1060"/>
      <c r="J7" s="1076"/>
      <c r="K7" s="1061"/>
    </row>
    <row r="8" spans="1:11" ht="30" customHeight="1" thickBot="1" x14ac:dyDescent="0.45">
      <c r="A8" s="313">
        <f t="shared" ref="A8:G8" si="1">SUM(A9:A15)</f>
        <v>0</v>
      </c>
      <c r="B8" s="367">
        <f t="shared" si="1"/>
        <v>0</v>
      </c>
      <c r="C8" s="320">
        <f t="shared" si="1"/>
        <v>217840</v>
      </c>
      <c r="D8" s="314">
        <f t="shared" si="1"/>
        <v>0</v>
      </c>
      <c r="E8" s="314">
        <f t="shared" si="1"/>
        <v>185950</v>
      </c>
      <c r="F8" s="314">
        <f t="shared" si="1"/>
        <v>354002</v>
      </c>
      <c r="G8" s="371">
        <f t="shared" si="1"/>
        <v>49788</v>
      </c>
      <c r="H8" s="1059" t="s">
        <v>187</v>
      </c>
      <c r="I8" s="1060"/>
      <c r="J8" s="1060"/>
      <c r="K8" s="1061"/>
    </row>
    <row r="9" spans="1:11" ht="30" customHeight="1" x14ac:dyDescent="0.45">
      <c r="B9" s="368">
        <v>0</v>
      </c>
      <c r="C9" s="315">
        <f>G9+F9-E9-D9</f>
        <v>37451</v>
      </c>
      <c r="D9" s="316">
        <v>0</v>
      </c>
      <c r="E9" s="316">
        <v>15169</v>
      </c>
      <c r="F9" s="316">
        <v>43500</v>
      </c>
      <c r="G9" s="372">
        <v>9120</v>
      </c>
      <c r="H9" s="1069" t="s">
        <v>298</v>
      </c>
      <c r="I9" s="1070"/>
      <c r="J9" s="317">
        <v>1805089000</v>
      </c>
      <c r="K9" s="594">
        <v>113500</v>
      </c>
    </row>
    <row r="10" spans="1:11" ht="30" customHeight="1" x14ac:dyDescent="0.45">
      <c r="B10" s="368">
        <v>0</v>
      </c>
      <c r="C10" s="315">
        <f>G10+F10-E10-D10</f>
        <v>10000</v>
      </c>
      <c r="D10" s="316">
        <v>0</v>
      </c>
      <c r="E10" s="316">
        <v>0</v>
      </c>
      <c r="F10" s="316">
        <v>10000</v>
      </c>
      <c r="G10" s="372">
        <v>0</v>
      </c>
      <c r="H10" s="1069" t="s">
        <v>363</v>
      </c>
      <c r="I10" s="1070"/>
      <c r="J10" s="317">
        <v>1805083000</v>
      </c>
      <c r="K10" s="594">
        <v>101052</v>
      </c>
    </row>
    <row r="11" spans="1:11" ht="30" customHeight="1" x14ac:dyDescent="0.45">
      <c r="B11" s="368">
        <v>0</v>
      </c>
      <c r="C11" s="315">
        <f t="shared" ref="C11:C15" si="2">G11+F11-E11-D11</f>
        <v>1182</v>
      </c>
      <c r="D11" s="316">
        <v>0</v>
      </c>
      <c r="E11" s="316">
        <v>0</v>
      </c>
      <c r="F11" s="316">
        <v>0</v>
      </c>
      <c r="G11" s="372">
        <v>1182</v>
      </c>
      <c r="H11" s="1057" t="s">
        <v>364</v>
      </c>
      <c r="I11" s="1058"/>
      <c r="J11" s="317">
        <v>1804015000</v>
      </c>
      <c r="K11" s="318">
        <v>113545</v>
      </c>
    </row>
    <row r="12" spans="1:11" s="301" customFormat="1" ht="30" customHeight="1" x14ac:dyDescent="0.45">
      <c r="A12" s="300"/>
      <c r="B12" s="368">
        <v>0</v>
      </c>
      <c r="C12" s="315">
        <f t="shared" si="2"/>
        <v>86</v>
      </c>
      <c r="D12" s="316">
        <v>0</v>
      </c>
      <c r="E12" s="316">
        <v>1300</v>
      </c>
      <c r="F12" s="316">
        <v>0</v>
      </c>
      <c r="G12" s="372">
        <v>1386</v>
      </c>
      <c r="H12" s="1057" t="s">
        <v>365</v>
      </c>
      <c r="I12" s="1058"/>
      <c r="J12" s="317">
        <v>1805070000</v>
      </c>
      <c r="K12" s="318">
        <v>113545</v>
      </c>
    </row>
    <row r="13" spans="1:11" s="301" customFormat="1" ht="30" customHeight="1" x14ac:dyDescent="0.45">
      <c r="A13" s="300"/>
      <c r="B13" s="368">
        <v>0</v>
      </c>
      <c r="C13" s="315">
        <f t="shared" si="2"/>
        <v>57021</v>
      </c>
      <c r="D13" s="316">
        <v>0</v>
      </c>
      <c r="E13" s="316">
        <v>167481</v>
      </c>
      <c r="F13" s="316">
        <v>190502</v>
      </c>
      <c r="G13" s="372">
        <v>34000</v>
      </c>
      <c r="H13" s="1057" t="s">
        <v>366</v>
      </c>
      <c r="I13" s="1058"/>
      <c r="J13" s="317">
        <v>0</v>
      </c>
      <c r="K13" s="318">
        <v>22222</v>
      </c>
    </row>
    <row r="14" spans="1:11" s="301" customFormat="1" ht="30" customHeight="1" x14ac:dyDescent="0.45">
      <c r="A14" s="300"/>
      <c r="B14" s="368">
        <v>0</v>
      </c>
      <c r="C14" s="315">
        <f t="shared" si="2"/>
        <v>7100</v>
      </c>
      <c r="D14" s="316">
        <v>0</v>
      </c>
      <c r="E14" s="316">
        <v>2000</v>
      </c>
      <c r="F14" s="316">
        <v>5000</v>
      </c>
      <c r="G14" s="372">
        <v>4100</v>
      </c>
      <c r="H14" s="1057" t="s">
        <v>367</v>
      </c>
      <c r="I14" s="1058"/>
      <c r="J14" s="317">
        <v>0</v>
      </c>
      <c r="K14" s="318">
        <v>101052</v>
      </c>
    </row>
    <row r="15" spans="1:11" s="301" customFormat="1" ht="30" customHeight="1" thickBot="1" x14ac:dyDescent="0.5">
      <c r="A15" s="300"/>
      <c r="B15" s="368">
        <v>0</v>
      </c>
      <c r="C15" s="315">
        <f t="shared" si="2"/>
        <v>105000</v>
      </c>
      <c r="D15" s="316">
        <v>0</v>
      </c>
      <c r="E15" s="316">
        <v>0</v>
      </c>
      <c r="F15" s="316">
        <v>105000</v>
      </c>
      <c r="G15" s="372">
        <v>0</v>
      </c>
      <c r="H15" s="1057" t="s">
        <v>368</v>
      </c>
      <c r="I15" s="1058"/>
      <c r="J15" s="317">
        <v>18050899000</v>
      </c>
      <c r="K15" s="318">
        <v>101052</v>
      </c>
    </row>
    <row r="16" spans="1:11" s="301" customFormat="1" ht="30" customHeight="1" thickBot="1" x14ac:dyDescent="0.5">
      <c r="A16" s="300"/>
      <c r="B16" s="369">
        <f t="shared" ref="B16:G16" si="3">SUM(B17:B26)</f>
        <v>0</v>
      </c>
      <c r="C16" s="320">
        <f t="shared" si="3"/>
        <v>80448</v>
      </c>
      <c r="D16" s="314">
        <f t="shared" si="3"/>
        <v>0</v>
      </c>
      <c r="E16" s="314">
        <f t="shared" si="3"/>
        <v>56877</v>
      </c>
      <c r="F16" s="314">
        <f t="shared" si="3"/>
        <v>83350</v>
      </c>
      <c r="G16" s="371">
        <f t="shared" si="3"/>
        <v>53975</v>
      </c>
      <c r="H16" s="1059" t="s">
        <v>188</v>
      </c>
      <c r="I16" s="1060"/>
      <c r="J16" s="1060"/>
      <c r="K16" s="1061"/>
    </row>
    <row r="17" spans="1:11" s="301" customFormat="1" ht="30" customHeight="1" x14ac:dyDescent="0.45">
      <c r="A17" s="300"/>
      <c r="B17" s="368">
        <v>0</v>
      </c>
      <c r="C17" s="315">
        <f t="shared" ref="C17:C26" si="4">G17+F17-E17-D17</f>
        <v>89</v>
      </c>
      <c r="D17" s="593">
        <v>0</v>
      </c>
      <c r="E17" s="316">
        <v>245</v>
      </c>
      <c r="F17" s="316">
        <v>0</v>
      </c>
      <c r="G17" s="372">
        <v>334</v>
      </c>
      <c r="H17" s="1062" t="s">
        <v>369</v>
      </c>
      <c r="I17" s="1063"/>
      <c r="J17" s="317">
        <v>18040015001</v>
      </c>
      <c r="K17" s="323">
        <v>113500</v>
      </c>
    </row>
    <row r="18" spans="1:11" s="301" customFormat="1" ht="36.75" customHeight="1" x14ac:dyDescent="0.45">
      <c r="A18" s="300"/>
      <c r="B18" s="368">
        <v>0</v>
      </c>
      <c r="C18" s="315">
        <f t="shared" si="4"/>
        <v>124</v>
      </c>
      <c r="D18" s="593">
        <v>0</v>
      </c>
      <c r="E18" s="316">
        <v>0</v>
      </c>
      <c r="F18" s="316">
        <v>0</v>
      </c>
      <c r="G18" s="372">
        <v>124</v>
      </c>
      <c r="H18" s="1064" t="s">
        <v>370</v>
      </c>
      <c r="I18" s="1065"/>
      <c r="J18" s="317">
        <v>0</v>
      </c>
      <c r="K18" s="323">
        <v>0</v>
      </c>
    </row>
    <row r="19" spans="1:11" s="301" customFormat="1" ht="30" customHeight="1" x14ac:dyDescent="0.45">
      <c r="A19" s="300"/>
      <c r="B19" s="368">
        <v>0</v>
      </c>
      <c r="C19" s="315">
        <f t="shared" si="4"/>
        <v>19129</v>
      </c>
      <c r="D19" s="321">
        <v>0</v>
      </c>
      <c r="E19" s="316">
        <v>14254</v>
      </c>
      <c r="F19" s="316">
        <v>29300</v>
      </c>
      <c r="G19" s="322">
        <v>4083</v>
      </c>
      <c r="H19" s="1066" t="s">
        <v>371</v>
      </c>
      <c r="I19" s="1067"/>
      <c r="J19" s="317">
        <v>1803001317</v>
      </c>
      <c r="K19" s="323">
        <v>113500</v>
      </c>
    </row>
    <row r="20" spans="1:11" s="301" customFormat="1" ht="30" customHeight="1" x14ac:dyDescent="0.45">
      <c r="A20" s="300"/>
      <c r="B20" s="368">
        <v>0</v>
      </c>
      <c r="C20" s="315">
        <f t="shared" si="4"/>
        <v>13</v>
      </c>
      <c r="D20" s="324">
        <v>0</v>
      </c>
      <c r="E20" s="316">
        <v>0</v>
      </c>
      <c r="F20" s="316">
        <v>0</v>
      </c>
      <c r="G20" s="322">
        <v>13</v>
      </c>
      <c r="H20" s="1066" t="s">
        <v>372</v>
      </c>
      <c r="I20" s="1067"/>
      <c r="J20" s="317">
        <v>1805089000</v>
      </c>
      <c r="K20" s="323">
        <v>101000</v>
      </c>
    </row>
    <row r="21" spans="1:11" s="301" customFormat="1" ht="30" customHeight="1" x14ac:dyDescent="0.45">
      <c r="A21" s="300"/>
      <c r="B21" s="368">
        <v>0</v>
      </c>
      <c r="C21" s="315">
        <f t="shared" si="4"/>
        <v>24</v>
      </c>
      <c r="D21" s="324">
        <v>0</v>
      </c>
      <c r="E21" s="316">
        <v>0</v>
      </c>
      <c r="F21" s="316">
        <v>0</v>
      </c>
      <c r="G21" s="322">
        <v>24</v>
      </c>
      <c r="H21" s="1068" t="s">
        <v>373</v>
      </c>
      <c r="I21" s="1067"/>
      <c r="J21" s="317">
        <v>1805083000</v>
      </c>
      <c r="K21" s="323">
        <v>101000</v>
      </c>
    </row>
    <row r="22" spans="1:11" s="301" customFormat="1" ht="30" customHeight="1" x14ac:dyDescent="0.45">
      <c r="A22" s="300"/>
      <c r="B22" s="368">
        <v>0</v>
      </c>
      <c r="C22" s="315">
        <f t="shared" si="4"/>
        <v>75</v>
      </c>
      <c r="D22" s="324">
        <v>0</v>
      </c>
      <c r="E22" s="316">
        <v>0</v>
      </c>
      <c r="F22" s="316">
        <v>0</v>
      </c>
      <c r="G22" s="322">
        <v>75</v>
      </c>
      <c r="H22" s="1046" t="s">
        <v>374</v>
      </c>
      <c r="I22" s="1047"/>
      <c r="J22" s="317">
        <v>1805075000</v>
      </c>
      <c r="K22" s="323">
        <v>101000</v>
      </c>
    </row>
    <row r="23" spans="1:11" s="301" customFormat="1" ht="30" customHeight="1" x14ac:dyDescent="0.45">
      <c r="A23" s="300"/>
      <c r="B23" s="368">
        <v>0</v>
      </c>
      <c r="C23" s="315">
        <f t="shared" si="4"/>
        <v>0</v>
      </c>
      <c r="D23" s="324">
        <v>0</v>
      </c>
      <c r="E23" s="316">
        <v>4938</v>
      </c>
      <c r="F23" s="316">
        <v>0</v>
      </c>
      <c r="G23" s="322">
        <v>4938</v>
      </c>
      <c r="H23" s="1046" t="s">
        <v>375</v>
      </c>
      <c r="I23" s="1047"/>
      <c r="J23" s="317">
        <v>180505000</v>
      </c>
      <c r="K23" s="323">
        <v>101000</v>
      </c>
    </row>
    <row r="24" spans="1:11" s="301" customFormat="1" ht="30" customHeight="1" x14ac:dyDescent="0.45">
      <c r="A24" s="300"/>
      <c r="B24" s="368">
        <v>0</v>
      </c>
      <c r="C24" s="315">
        <f t="shared" si="4"/>
        <v>21384</v>
      </c>
      <c r="D24" s="324">
        <v>0</v>
      </c>
      <c r="E24" s="316">
        <v>20722</v>
      </c>
      <c r="F24" s="316">
        <v>0</v>
      </c>
      <c r="G24" s="322">
        <v>42106</v>
      </c>
      <c r="H24" s="1046" t="s">
        <v>376</v>
      </c>
      <c r="I24" s="1047"/>
      <c r="J24" s="317">
        <v>0</v>
      </c>
      <c r="K24" s="323">
        <v>30100</v>
      </c>
    </row>
    <row r="25" spans="1:11" s="301" customFormat="1" ht="30" customHeight="1" x14ac:dyDescent="0.45">
      <c r="A25" s="300"/>
      <c r="B25" s="368">
        <v>0</v>
      </c>
      <c r="C25" s="315">
        <f t="shared" si="4"/>
        <v>39578</v>
      </c>
      <c r="D25" s="319">
        <v>0</v>
      </c>
      <c r="E25" s="593">
        <v>16718</v>
      </c>
      <c r="F25" s="593">
        <v>54050</v>
      </c>
      <c r="G25" s="322">
        <v>2246</v>
      </c>
      <c r="H25" s="1046" t="s">
        <v>377</v>
      </c>
      <c r="I25" s="1047"/>
      <c r="J25" s="317">
        <v>1804003025</v>
      </c>
      <c r="K25" s="323">
        <v>55000</v>
      </c>
    </row>
    <row r="26" spans="1:11" s="301" customFormat="1" ht="30" customHeight="1" thickBot="1" x14ac:dyDescent="0.5">
      <c r="A26" s="300"/>
      <c r="B26" s="368">
        <v>0</v>
      </c>
      <c r="C26" s="315">
        <f t="shared" si="4"/>
        <v>32</v>
      </c>
      <c r="D26" s="325">
        <v>0</v>
      </c>
      <c r="E26" s="638">
        <v>0</v>
      </c>
      <c r="F26" s="593">
        <v>0</v>
      </c>
      <c r="G26" s="322">
        <v>32</v>
      </c>
      <c r="H26" s="1046" t="s">
        <v>378</v>
      </c>
      <c r="I26" s="1047"/>
      <c r="J26" s="317">
        <v>0</v>
      </c>
      <c r="K26" s="323">
        <v>0</v>
      </c>
    </row>
    <row r="27" spans="1:11" s="301" customFormat="1" ht="48" customHeight="1" thickBot="1" x14ac:dyDescent="0.5">
      <c r="A27" s="300"/>
      <c r="B27" s="1048"/>
      <c r="C27" s="1049"/>
      <c r="D27" s="1049"/>
      <c r="E27" s="1049"/>
      <c r="F27" s="1049"/>
      <c r="G27" s="1049"/>
      <c r="H27" s="1049"/>
      <c r="I27" s="1049"/>
      <c r="J27" s="1049"/>
      <c r="K27" s="1050"/>
    </row>
    <row r="28" spans="1:11" s="301" customFormat="1" ht="2.25" customHeight="1" x14ac:dyDescent="0.45">
      <c r="A28" s="300"/>
      <c r="B28" s="326"/>
      <c r="C28" s="1051" t="str">
        <f>'[1] فرم 1 '!F28</f>
        <v>رئيس كميسيون دائمي هيات امنا - نام و نام خانوادگی : دکتر رضا قنبری</v>
      </c>
      <c r="D28" s="1051"/>
      <c r="E28" s="1051"/>
      <c r="F28" s="1051"/>
      <c r="G28" s="1051"/>
      <c r="H28" s="1051"/>
      <c r="I28" s="1053" t="str">
        <f>'[1] فرم 1 '!M28</f>
        <v>رییس دستگاه اجرایی : دکتر محسن نظری</v>
      </c>
      <c r="J28" s="1053"/>
      <c r="K28" s="1054"/>
    </row>
    <row r="29" spans="1:11" s="301" customFormat="1" ht="37.5" customHeight="1" thickBot="1" x14ac:dyDescent="0.5">
      <c r="A29" s="300"/>
      <c r="B29" s="327"/>
      <c r="C29" s="1052"/>
      <c r="D29" s="1052"/>
      <c r="E29" s="1052"/>
      <c r="F29" s="1052"/>
      <c r="G29" s="1052"/>
      <c r="H29" s="1052"/>
      <c r="I29" s="1055"/>
      <c r="J29" s="1055"/>
      <c r="K29" s="1056"/>
    </row>
  </sheetData>
  <mergeCells count="34">
    <mergeCell ref="B4:C4"/>
    <mergeCell ref="I4:K4"/>
    <mergeCell ref="H7:K7"/>
    <mergeCell ref="F2:H2"/>
    <mergeCell ref="I2:K2"/>
    <mergeCell ref="F3:H3"/>
    <mergeCell ref="I3:K3"/>
    <mergeCell ref="B5:B6"/>
    <mergeCell ref="C5:G5"/>
    <mergeCell ref="H5:I6"/>
    <mergeCell ref="J5:J6"/>
    <mergeCell ref="K5:K6"/>
    <mergeCell ref="H8:K8"/>
    <mergeCell ref="H9:I9"/>
    <mergeCell ref="H10:I10"/>
    <mergeCell ref="H11:I11"/>
    <mergeCell ref="H12:I12"/>
    <mergeCell ref="H23:I23"/>
    <mergeCell ref="H13:I13"/>
    <mergeCell ref="H14:I14"/>
    <mergeCell ref="H15:I15"/>
    <mergeCell ref="H16:K16"/>
    <mergeCell ref="H17:I17"/>
    <mergeCell ref="H18:I18"/>
    <mergeCell ref="H19:I19"/>
    <mergeCell ref="H20:I20"/>
    <mergeCell ref="H21:I21"/>
    <mergeCell ref="H22:I22"/>
    <mergeCell ref="H24:I24"/>
    <mergeCell ref="H25:I25"/>
    <mergeCell ref="H26:I26"/>
    <mergeCell ref="B27:K27"/>
    <mergeCell ref="C28:H29"/>
    <mergeCell ref="I28:K29"/>
  </mergeCells>
  <printOptions horizontalCentered="1"/>
  <pageMargins left="0" right="0" top="7.874015748031496E-2" bottom="0" header="0.27559055118110237" footer="3.937007874015748E-2"/>
  <pageSetup paperSize="9" scale="6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65"/>
  <sheetViews>
    <sheetView tabSelected="1" topLeftCell="B1" zoomScale="90" zoomScaleNormal="90" workbookViewId="0">
      <pane ySplit="6" topLeftCell="A7" activePane="bottomLeft" state="frozen"/>
      <selection activeCell="H14" sqref="H14"/>
      <selection pane="bottomLeft" activeCell="C1" sqref="C1:C1048576"/>
    </sheetView>
  </sheetViews>
  <sheetFormatPr defaultColWidth="9.140625" defaultRowHeight="12.75" x14ac:dyDescent="0.2"/>
  <cols>
    <col min="1" max="1" width="0.7109375" style="31" hidden="1" customWidth="1"/>
    <col min="2" max="2" width="26.5703125" style="31" customWidth="1"/>
    <col min="3" max="3" width="15.28515625" style="31" customWidth="1"/>
    <col min="4" max="4" width="17.140625" style="31" customWidth="1"/>
    <col min="5" max="5" width="19.140625" style="31" customWidth="1"/>
    <col min="6" max="6" width="17.7109375" style="31" customWidth="1"/>
    <col min="7" max="7" width="72" style="31" customWidth="1"/>
    <col min="8" max="8" width="9.85546875" style="31" customWidth="1"/>
    <col min="9" max="16384" width="9.140625" style="31"/>
  </cols>
  <sheetData>
    <row r="1" spans="1:8" ht="12" customHeight="1" thickBot="1" x14ac:dyDescent="0.25"/>
    <row r="2" spans="1:8" ht="30" customHeight="1" x14ac:dyDescent="0.2">
      <c r="B2" s="32"/>
      <c r="C2" s="32"/>
      <c r="D2" s="1100" t="s">
        <v>333</v>
      </c>
      <c r="E2" s="1100"/>
      <c r="F2" s="1100"/>
      <c r="G2" s="1101" t="s">
        <v>311</v>
      </c>
      <c r="H2" s="1102"/>
    </row>
    <row r="3" spans="1:8" ht="30" customHeight="1" thickBot="1" x14ac:dyDescent="0.25">
      <c r="B3" s="33"/>
      <c r="C3" s="33"/>
      <c r="D3" s="1103" t="s">
        <v>331</v>
      </c>
      <c r="E3" s="1103"/>
      <c r="F3" s="1103"/>
      <c r="G3" s="1104" t="s">
        <v>257</v>
      </c>
      <c r="H3" s="1105"/>
    </row>
    <row r="4" spans="1:8" ht="5.25" customHeight="1" thickBot="1" x14ac:dyDescent="0.25">
      <c r="B4" s="34"/>
      <c r="C4" s="34"/>
      <c r="D4" s="34"/>
      <c r="E4" s="34"/>
      <c r="F4" s="34"/>
      <c r="G4" s="34"/>
      <c r="H4" s="34"/>
    </row>
    <row r="5" spans="1:8" ht="21.75" customHeight="1" x14ac:dyDescent="0.2">
      <c r="A5" s="44"/>
      <c r="B5" s="45"/>
      <c r="C5" s="84" t="s">
        <v>292</v>
      </c>
      <c r="D5" s="1106" t="s">
        <v>232</v>
      </c>
      <c r="E5" s="1107"/>
      <c r="F5" s="1108"/>
      <c r="G5" s="1106" t="s">
        <v>153</v>
      </c>
      <c r="H5" s="1122" t="s">
        <v>252</v>
      </c>
    </row>
    <row r="6" spans="1:8" ht="19.5" customHeight="1" thickBot="1" x14ac:dyDescent="0.25">
      <c r="A6" s="46"/>
      <c r="B6" s="49" t="s">
        <v>155</v>
      </c>
      <c r="C6" s="49">
        <v>1404</v>
      </c>
      <c r="D6" s="49">
        <v>1403</v>
      </c>
      <c r="E6" s="49">
        <v>1402</v>
      </c>
      <c r="F6" s="47">
        <v>1401</v>
      </c>
      <c r="G6" s="1109"/>
      <c r="H6" s="1123"/>
    </row>
    <row r="7" spans="1:8" ht="25.5" customHeight="1" x14ac:dyDescent="0.2">
      <c r="B7" s="50"/>
      <c r="C7" s="51">
        <v>17805130</v>
      </c>
      <c r="D7" s="51">
        <v>20302315</v>
      </c>
      <c r="E7" s="51">
        <v>15500000</v>
      </c>
      <c r="F7" s="51">
        <v>13568000</v>
      </c>
      <c r="G7" s="39" t="s">
        <v>280</v>
      </c>
      <c r="H7" s="1116" t="s">
        <v>195</v>
      </c>
    </row>
    <row r="8" spans="1:8" ht="25.5" customHeight="1" x14ac:dyDescent="0.2">
      <c r="B8" s="52"/>
      <c r="C8" s="51">
        <v>172714061</v>
      </c>
      <c r="D8" s="51">
        <v>196937355</v>
      </c>
      <c r="E8" s="51">
        <v>103471194</v>
      </c>
      <c r="F8" s="51">
        <v>86226162</v>
      </c>
      <c r="G8" s="37" t="s">
        <v>225</v>
      </c>
      <c r="H8" s="1117"/>
    </row>
    <row r="9" spans="1:8" ht="25.5" customHeight="1" x14ac:dyDescent="0.2">
      <c r="B9" s="52"/>
      <c r="C9" s="90">
        <v>5361</v>
      </c>
      <c r="D9" s="91">
        <v>4281</v>
      </c>
      <c r="E9" s="91">
        <v>3870</v>
      </c>
      <c r="F9" s="91">
        <v>3412</v>
      </c>
      <c r="G9" s="37" t="s">
        <v>224</v>
      </c>
      <c r="H9" s="1117"/>
    </row>
    <row r="10" spans="1:8" ht="25.5" customHeight="1" x14ac:dyDescent="0.2">
      <c r="B10" s="52"/>
      <c r="C10" s="90"/>
      <c r="D10" s="91"/>
      <c r="E10" s="90"/>
      <c r="F10" s="90"/>
      <c r="G10" s="37" t="s">
        <v>238</v>
      </c>
      <c r="H10" s="1117"/>
    </row>
    <row r="11" spans="1:8" ht="25.5" customHeight="1" x14ac:dyDescent="0.2">
      <c r="B11" s="52"/>
      <c r="C11" s="90">
        <v>1</v>
      </c>
      <c r="D11" s="91">
        <v>1</v>
      </c>
      <c r="E11" s="90">
        <v>0</v>
      </c>
      <c r="F11" s="90">
        <v>1</v>
      </c>
      <c r="G11" s="37" t="s">
        <v>239</v>
      </c>
      <c r="H11" s="1117"/>
    </row>
    <row r="12" spans="1:8" ht="25.5" customHeight="1" x14ac:dyDescent="0.2">
      <c r="B12" s="52"/>
      <c r="C12" s="92">
        <v>5</v>
      </c>
      <c r="D12" s="92">
        <v>3</v>
      </c>
      <c r="E12" s="92">
        <v>18</v>
      </c>
      <c r="F12" s="92">
        <v>16</v>
      </c>
      <c r="G12" s="37" t="s">
        <v>240</v>
      </c>
      <c r="H12" s="1117"/>
    </row>
    <row r="13" spans="1:8" ht="25.5" customHeight="1" x14ac:dyDescent="0.2">
      <c r="B13" s="52"/>
      <c r="C13" s="91">
        <v>368</v>
      </c>
      <c r="D13" s="90">
        <v>336</v>
      </c>
      <c r="E13" s="90">
        <v>368</v>
      </c>
      <c r="F13" s="90">
        <v>333</v>
      </c>
      <c r="G13" s="37" t="s">
        <v>199</v>
      </c>
      <c r="H13" s="1117"/>
    </row>
    <row r="14" spans="1:8" ht="25.5" customHeight="1" x14ac:dyDescent="0.2">
      <c r="B14" s="52"/>
      <c r="C14" s="53">
        <v>15</v>
      </c>
      <c r="D14" s="54">
        <v>11</v>
      </c>
      <c r="E14" s="53">
        <v>10</v>
      </c>
      <c r="F14" s="53">
        <v>8</v>
      </c>
      <c r="G14" s="37" t="s">
        <v>200</v>
      </c>
      <c r="H14" s="1117"/>
    </row>
    <row r="15" spans="1:8" ht="25.5" customHeight="1" x14ac:dyDescent="0.2">
      <c r="B15" s="52"/>
      <c r="C15" s="53"/>
      <c r="D15" s="54"/>
      <c r="E15" s="53"/>
      <c r="F15" s="53"/>
      <c r="G15" s="37" t="s">
        <v>241</v>
      </c>
      <c r="H15" s="1117"/>
    </row>
    <row r="16" spans="1:8" ht="25.5" customHeight="1" x14ac:dyDescent="0.2">
      <c r="B16" s="52"/>
      <c r="C16" s="53"/>
      <c r="D16" s="54"/>
      <c r="E16" s="53"/>
      <c r="F16" s="53"/>
      <c r="G16" s="37" t="s">
        <v>242</v>
      </c>
      <c r="H16" s="1117"/>
    </row>
    <row r="17" spans="2:8" ht="25.5" customHeight="1" x14ac:dyDescent="0.2">
      <c r="B17" s="52"/>
      <c r="C17" s="53"/>
      <c r="D17" s="54"/>
      <c r="E17" s="53"/>
      <c r="F17" s="53"/>
      <c r="G17" s="37" t="s">
        <v>243</v>
      </c>
      <c r="H17" s="1117"/>
    </row>
    <row r="18" spans="2:8" ht="25.5" customHeight="1" x14ac:dyDescent="0.2">
      <c r="B18" s="52"/>
      <c r="C18" s="53"/>
      <c r="D18" s="54"/>
      <c r="E18" s="53"/>
      <c r="F18" s="53"/>
      <c r="G18" s="37" t="s">
        <v>244</v>
      </c>
      <c r="H18" s="1117"/>
    </row>
    <row r="19" spans="2:8" ht="25.5" customHeight="1" x14ac:dyDescent="0.2">
      <c r="B19" s="52"/>
      <c r="C19" s="53"/>
      <c r="D19" s="54"/>
      <c r="E19" s="53"/>
      <c r="F19" s="53"/>
      <c r="G19" s="37" t="s">
        <v>163</v>
      </c>
      <c r="H19" s="1117"/>
    </row>
    <row r="20" spans="2:8" ht="25.5" customHeight="1" x14ac:dyDescent="0.2">
      <c r="B20" s="52"/>
      <c r="C20" s="53"/>
      <c r="D20" s="54"/>
      <c r="E20" s="53"/>
      <c r="F20" s="53"/>
      <c r="G20" s="37" t="s">
        <v>281</v>
      </c>
      <c r="H20" s="1117"/>
    </row>
    <row r="21" spans="2:8" ht="25.5" customHeight="1" x14ac:dyDescent="0.4">
      <c r="B21" s="52"/>
      <c r="C21" s="53"/>
      <c r="D21" s="54"/>
      <c r="E21" s="53"/>
      <c r="F21" s="53"/>
      <c r="G21" s="38" t="s">
        <v>282</v>
      </c>
      <c r="H21" s="1117"/>
    </row>
    <row r="22" spans="2:8" ht="25.5" customHeight="1" x14ac:dyDescent="0.2">
      <c r="B22" s="52"/>
      <c r="C22" s="55"/>
      <c r="D22" s="56"/>
      <c r="E22" s="55"/>
      <c r="F22" s="55"/>
      <c r="G22" s="37" t="s">
        <v>198</v>
      </c>
      <c r="H22" s="1117"/>
    </row>
    <row r="23" spans="2:8" ht="25.5" customHeight="1" x14ac:dyDescent="0.2">
      <c r="B23" s="52"/>
      <c r="C23" s="55"/>
      <c r="D23" s="56"/>
      <c r="E23" s="55"/>
      <c r="F23" s="55"/>
      <c r="G23" s="37" t="s">
        <v>197</v>
      </c>
      <c r="H23" s="1117"/>
    </row>
    <row r="24" spans="2:8" ht="25.5" customHeight="1" x14ac:dyDescent="0.2">
      <c r="B24" s="52"/>
      <c r="C24" s="55"/>
      <c r="D24" s="56"/>
      <c r="E24" s="55"/>
      <c r="F24" s="55"/>
      <c r="G24" s="37" t="s">
        <v>196</v>
      </c>
      <c r="H24" s="1117"/>
    </row>
    <row r="25" spans="2:8" ht="25.5" customHeight="1" x14ac:dyDescent="0.2">
      <c r="B25" s="52"/>
      <c r="C25" s="53"/>
      <c r="D25" s="54"/>
      <c r="E25" s="53"/>
      <c r="F25" s="53"/>
      <c r="G25" s="37" t="s">
        <v>245</v>
      </c>
      <c r="H25" s="1117"/>
    </row>
    <row r="26" spans="2:8" ht="25.5" customHeight="1" x14ac:dyDescent="0.2">
      <c r="B26" s="52"/>
      <c r="C26" s="53"/>
      <c r="D26" s="54"/>
      <c r="E26" s="53"/>
      <c r="F26" s="53"/>
      <c r="G26" s="37" t="s">
        <v>246</v>
      </c>
      <c r="H26" s="1117"/>
    </row>
    <row r="27" spans="2:8" ht="25.5" customHeight="1" x14ac:dyDescent="0.2">
      <c r="B27" s="52"/>
      <c r="C27" s="53"/>
      <c r="D27" s="54"/>
      <c r="E27" s="53"/>
      <c r="F27" s="53"/>
      <c r="G27" s="37" t="s">
        <v>247</v>
      </c>
      <c r="H27" s="1117"/>
    </row>
    <row r="28" spans="2:8" ht="25.5" customHeight="1" x14ac:dyDescent="0.2">
      <c r="B28" s="52"/>
      <c r="C28" s="55"/>
      <c r="D28" s="56"/>
      <c r="E28" s="55"/>
      <c r="F28" s="55"/>
      <c r="G28" s="37" t="s">
        <v>248</v>
      </c>
      <c r="H28" s="1117"/>
    </row>
    <row r="29" spans="2:8" ht="25.5" customHeight="1" x14ac:dyDescent="0.2">
      <c r="B29" s="52"/>
      <c r="C29" s="55"/>
      <c r="D29" s="56"/>
      <c r="E29" s="55"/>
      <c r="F29" s="55"/>
      <c r="G29" s="37" t="s">
        <v>249</v>
      </c>
      <c r="H29" s="1117"/>
    </row>
    <row r="30" spans="2:8" ht="25.5" customHeight="1" thickBot="1" x14ac:dyDescent="0.25">
      <c r="B30" s="57"/>
      <c r="C30" s="58"/>
      <c r="D30" s="59"/>
      <c r="E30" s="58"/>
      <c r="F30" s="58"/>
      <c r="G30" s="42" t="s">
        <v>250</v>
      </c>
      <c r="H30" s="1118"/>
    </row>
    <row r="31" spans="2:8" ht="25.5" customHeight="1" x14ac:dyDescent="0.2">
      <c r="B31" s="60" t="s">
        <v>173</v>
      </c>
      <c r="C31" s="56">
        <v>0.23</v>
      </c>
      <c r="D31" s="56">
        <v>0.2</v>
      </c>
      <c r="E31" s="56">
        <v>0.22</v>
      </c>
      <c r="F31" s="56">
        <v>0.28000000000000003</v>
      </c>
      <c r="G31" s="39" t="s">
        <v>174</v>
      </c>
      <c r="H31" s="1110" t="s">
        <v>158</v>
      </c>
    </row>
    <row r="32" spans="2:8" ht="25.5" customHeight="1" x14ac:dyDescent="0.2">
      <c r="B32" s="52" t="s">
        <v>175</v>
      </c>
      <c r="C32" s="55">
        <v>0</v>
      </c>
      <c r="D32" s="56">
        <v>0</v>
      </c>
      <c r="E32" s="56">
        <v>0</v>
      </c>
      <c r="F32" s="56">
        <v>0</v>
      </c>
      <c r="G32" s="37" t="s">
        <v>233</v>
      </c>
      <c r="H32" s="1111"/>
    </row>
    <row r="33" spans="2:8" ht="25.5" customHeight="1" x14ac:dyDescent="0.2">
      <c r="B33" s="52" t="s">
        <v>176</v>
      </c>
      <c r="C33" s="56">
        <v>1</v>
      </c>
      <c r="D33" s="56">
        <v>1</v>
      </c>
      <c r="E33" s="56">
        <v>1</v>
      </c>
      <c r="F33" s="56">
        <v>1</v>
      </c>
      <c r="G33" s="37" t="s">
        <v>234</v>
      </c>
      <c r="H33" s="1111"/>
    </row>
    <row r="34" spans="2:8" ht="25.5" customHeight="1" thickBot="1" x14ac:dyDescent="0.45">
      <c r="B34" s="52" t="s">
        <v>177</v>
      </c>
      <c r="C34" s="56">
        <v>0</v>
      </c>
      <c r="D34" s="56">
        <v>0</v>
      </c>
      <c r="E34" s="56">
        <v>0</v>
      </c>
      <c r="F34" s="56">
        <v>0</v>
      </c>
      <c r="G34" s="38" t="s">
        <v>157</v>
      </c>
      <c r="H34" s="1112"/>
    </row>
    <row r="35" spans="2:8" ht="25.5" customHeight="1" x14ac:dyDescent="0.4">
      <c r="B35" s="50"/>
      <c r="C35" s="639"/>
      <c r="D35" s="639"/>
      <c r="E35" s="639"/>
      <c r="F35" s="639"/>
      <c r="G35" s="1144"/>
      <c r="H35" s="645"/>
    </row>
    <row r="36" spans="2:8" ht="25.5" customHeight="1" x14ac:dyDescent="0.2">
      <c r="B36" s="50" t="s">
        <v>165</v>
      </c>
      <c r="C36" s="639">
        <v>0.17</v>
      </c>
      <c r="D36" s="639">
        <v>0.22</v>
      </c>
      <c r="E36" s="639">
        <v>0.26</v>
      </c>
      <c r="F36" s="639">
        <v>0.35</v>
      </c>
      <c r="G36" s="40" t="s">
        <v>164</v>
      </c>
      <c r="H36" s="1113" t="s">
        <v>154</v>
      </c>
    </row>
    <row r="37" spans="2:8" ht="25.5" customHeight="1" x14ac:dyDescent="0.2">
      <c r="B37" s="52" t="s">
        <v>192</v>
      </c>
      <c r="C37" s="639">
        <v>0.04</v>
      </c>
      <c r="D37" s="639">
        <v>0.04</v>
      </c>
      <c r="E37" s="639">
        <v>0.05</v>
      </c>
      <c r="F37" s="639">
        <v>0.05</v>
      </c>
      <c r="G37" s="41" t="s">
        <v>191</v>
      </c>
      <c r="H37" s="1114"/>
    </row>
    <row r="38" spans="2:8" ht="25.5" customHeight="1" x14ac:dyDescent="0.2">
      <c r="B38" s="52" t="s">
        <v>193</v>
      </c>
      <c r="C38" s="639">
        <v>0.96</v>
      </c>
      <c r="D38" s="639">
        <v>0.96</v>
      </c>
      <c r="E38" s="639">
        <v>0.95</v>
      </c>
      <c r="F38" s="639">
        <v>0.95</v>
      </c>
      <c r="G38" s="41" t="s">
        <v>251</v>
      </c>
      <c r="H38" s="1114"/>
    </row>
    <row r="39" spans="2:8" ht="25.5" customHeight="1" x14ac:dyDescent="0.2">
      <c r="B39" s="52" t="s">
        <v>170</v>
      </c>
      <c r="C39" s="639">
        <v>0.14000000000000001</v>
      </c>
      <c r="D39" s="639">
        <v>0.15</v>
      </c>
      <c r="E39" s="639">
        <v>0.12</v>
      </c>
      <c r="F39" s="639">
        <v>0.12</v>
      </c>
      <c r="G39" s="41" t="s">
        <v>169</v>
      </c>
      <c r="H39" s="1114"/>
    </row>
    <row r="40" spans="2:8" ht="25.5" customHeight="1" x14ac:dyDescent="0.2">
      <c r="B40" s="52" t="s">
        <v>168</v>
      </c>
      <c r="C40" s="639">
        <v>0.57999999999999996</v>
      </c>
      <c r="D40" s="639">
        <v>0.47</v>
      </c>
      <c r="E40" s="639">
        <v>0.45</v>
      </c>
      <c r="F40" s="639">
        <v>0.38</v>
      </c>
      <c r="G40" s="37" t="s">
        <v>166</v>
      </c>
      <c r="H40" s="1114"/>
    </row>
    <row r="41" spans="2:8" ht="25.5" customHeight="1" x14ac:dyDescent="0.2">
      <c r="B41" s="52"/>
      <c r="C41" s="55"/>
      <c r="D41" s="56"/>
      <c r="E41" s="55"/>
      <c r="F41" s="55"/>
      <c r="G41" s="37" t="s">
        <v>194</v>
      </c>
      <c r="H41" s="1114"/>
    </row>
    <row r="42" spans="2:8" ht="25.5" customHeight="1" x14ac:dyDescent="0.2">
      <c r="B42" s="52" t="s">
        <v>167</v>
      </c>
      <c r="C42" s="53"/>
      <c r="D42" s="53"/>
      <c r="E42" s="53"/>
      <c r="F42" s="53"/>
      <c r="G42" s="37" t="s">
        <v>156</v>
      </c>
      <c r="H42" s="1114"/>
    </row>
    <row r="43" spans="2:8" ht="25.5" customHeight="1" thickBot="1" x14ac:dyDescent="0.25">
      <c r="B43" s="57" t="s">
        <v>172</v>
      </c>
      <c r="C43" s="61"/>
      <c r="D43" s="62"/>
      <c r="E43" s="61"/>
      <c r="F43" s="61"/>
      <c r="G43" s="42" t="s">
        <v>171</v>
      </c>
      <c r="H43" s="1115"/>
    </row>
    <row r="44" spans="2:8" ht="25.5" customHeight="1" x14ac:dyDescent="0.2">
      <c r="B44" s="63" t="s">
        <v>178</v>
      </c>
      <c r="C44" s="64"/>
      <c r="D44" s="65"/>
      <c r="E44" s="64"/>
      <c r="F44" s="64"/>
      <c r="G44" s="43" t="s">
        <v>283</v>
      </c>
      <c r="H44" s="1116" t="s">
        <v>162</v>
      </c>
    </row>
    <row r="45" spans="2:8" ht="25.5" customHeight="1" x14ac:dyDescent="0.2">
      <c r="B45" s="52" t="s">
        <v>230</v>
      </c>
      <c r="C45" s="66"/>
      <c r="D45" s="67"/>
      <c r="E45" s="66"/>
      <c r="F45" s="66"/>
      <c r="G45" s="37" t="s">
        <v>231</v>
      </c>
      <c r="H45" s="1117"/>
    </row>
    <row r="46" spans="2:8" ht="25.5" customHeight="1" x14ac:dyDescent="0.2">
      <c r="B46" s="52" t="s">
        <v>180</v>
      </c>
      <c r="C46" s="66"/>
      <c r="D46" s="67"/>
      <c r="E46" s="66"/>
      <c r="F46" s="66"/>
      <c r="G46" s="37" t="s">
        <v>159</v>
      </c>
      <c r="H46" s="1117"/>
    </row>
    <row r="47" spans="2:8" ht="25.5" customHeight="1" x14ac:dyDescent="0.2">
      <c r="B47" s="52" t="s">
        <v>179</v>
      </c>
      <c r="C47" s="55"/>
      <c r="D47" s="55"/>
      <c r="E47" s="55"/>
      <c r="F47" s="55"/>
      <c r="G47" s="37" t="s">
        <v>160</v>
      </c>
      <c r="H47" s="1117"/>
    </row>
    <row r="48" spans="2:8" ht="25.5" customHeight="1" x14ac:dyDescent="0.2">
      <c r="B48" s="68" t="s">
        <v>181</v>
      </c>
      <c r="C48" s="66"/>
      <c r="D48" s="67"/>
      <c r="E48" s="66"/>
      <c r="F48" s="66"/>
      <c r="G48" s="69" t="s">
        <v>284</v>
      </c>
      <c r="H48" s="1117"/>
    </row>
    <row r="49" spans="1:9" ht="25.5" customHeight="1" thickBot="1" x14ac:dyDescent="0.25">
      <c r="B49" s="57" t="s">
        <v>182</v>
      </c>
      <c r="C49" s="58"/>
      <c r="D49" s="59"/>
      <c r="E49" s="58"/>
      <c r="F49" s="58"/>
      <c r="G49" s="42" t="s">
        <v>161</v>
      </c>
      <c r="H49" s="1118"/>
    </row>
    <row r="50" spans="1:9" ht="25.5" customHeight="1" x14ac:dyDescent="0.4">
      <c r="B50" s="70"/>
      <c r="C50" s="71"/>
      <c r="D50" s="72"/>
      <c r="E50" s="71"/>
      <c r="F50" s="71"/>
      <c r="G50" s="85"/>
      <c r="H50" s="1119" t="s">
        <v>183</v>
      </c>
    </row>
    <row r="51" spans="1:9" ht="25.5" customHeight="1" x14ac:dyDescent="0.4">
      <c r="B51" s="73"/>
      <c r="C51" s="74"/>
      <c r="D51" s="74"/>
      <c r="E51" s="74"/>
      <c r="F51" s="74"/>
      <c r="G51" s="86"/>
      <c r="H51" s="1120"/>
    </row>
    <row r="52" spans="1:9" ht="25.5" customHeight="1" x14ac:dyDescent="0.2">
      <c r="B52" s="75"/>
      <c r="C52" s="76"/>
      <c r="D52" s="77"/>
      <c r="E52" s="76"/>
      <c r="F52" s="76"/>
      <c r="G52" s="87"/>
      <c r="H52" s="1120"/>
    </row>
    <row r="53" spans="1:9" ht="25.5" customHeight="1" x14ac:dyDescent="0.2">
      <c r="B53" s="75"/>
      <c r="C53" s="76"/>
      <c r="D53" s="77"/>
      <c r="E53" s="76"/>
      <c r="F53" s="76"/>
      <c r="G53" s="87"/>
      <c r="H53" s="1120"/>
    </row>
    <row r="54" spans="1:9" ht="25.5" customHeight="1" x14ac:dyDescent="0.2">
      <c r="B54" s="75"/>
      <c r="C54" s="76"/>
      <c r="D54" s="77"/>
      <c r="E54" s="76"/>
      <c r="F54" s="76"/>
      <c r="G54" s="87"/>
      <c r="H54" s="1120"/>
    </row>
    <row r="55" spans="1:9" ht="25.5" customHeight="1" x14ac:dyDescent="0.2">
      <c r="B55" s="75"/>
      <c r="C55" s="76"/>
      <c r="D55" s="77"/>
      <c r="E55" s="76"/>
      <c r="F55" s="76"/>
      <c r="G55" s="87"/>
      <c r="H55" s="1120"/>
    </row>
    <row r="56" spans="1:9" ht="25.5" customHeight="1" x14ac:dyDescent="0.2">
      <c r="B56" s="75"/>
      <c r="C56" s="76"/>
      <c r="D56" s="77"/>
      <c r="E56" s="76"/>
      <c r="F56" s="76"/>
      <c r="G56" s="87"/>
      <c r="H56" s="1120"/>
    </row>
    <row r="57" spans="1:9" ht="25.5" customHeight="1" x14ac:dyDescent="0.2">
      <c r="B57" s="75"/>
      <c r="C57" s="76"/>
      <c r="D57" s="77"/>
      <c r="E57" s="76"/>
      <c r="F57" s="76"/>
      <c r="G57" s="87"/>
      <c r="H57" s="1120"/>
    </row>
    <row r="58" spans="1:9" ht="25.5" customHeight="1" x14ac:dyDescent="0.2">
      <c r="B58" s="75"/>
      <c r="C58" s="76"/>
      <c r="D58" s="77"/>
      <c r="E58" s="76"/>
      <c r="F58" s="76"/>
      <c r="G58" s="87"/>
      <c r="H58" s="1120"/>
    </row>
    <row r="59" spans="1:9" ht="25.5" customHeight="1" x14ac:dyDescent="0.2">
      <c r="B59" s="75"/>
      <c r="C59" s="76"/>
      <c r="D59" s="77"/>
      <c r="E59" s="76"/>
      <c r="F59" s="76"/>
      <c r="G59" s="87"/>
      <c r="H59" s="1120"/>
    </row>
    <row r="60" spans="1:9" ht="25.5" customHeight="1" x14ac:dyDescent="0.2">
      <c r="B60" s="75"/>
      <c r="C60" s="76"/>
      <c r="D60" s="77"/>
      <c r="E60" s="76"/>
      <c r="F60" s="76"/>
      <c r="G60" s="87"/>
      <c r="H60" s="1120"/>
    </row>
    <row r="61" spans="1:9" ht="25.5" customHeight="1" x14ac:dyDescent="0.45">
      <c r="A61" s="35"/>
      <c r="B61" s="78"/>
      <c r="C61" s="79"/>
      <c r="D61" s="79"/>
      <c r="E61" s="79"/>
      <c r="F61" s="79"/>
      <c r="G61" s="87"/>
      <c r="H61" s="1120"/>
      <c r="I61" s="35"/>
    </row>
    <row r="62" spans="1:9" ht="25.5" customHeight="1" x14ac:dyDescent="0.45">
      <c r="A62" s="35"/>
      <c r="B62" s="78"/>
      <c r="C62" s="79"/>
      <c r="D62" s="79"/>
      <c r="E62" s="79"/>
      <c r="F62" s="79"/>
      <c r="G62" s="88"/>
      <c r="H62" s="1120"/>
      <c r="I62" s="35"/>
    </row>
    <row r="63" spans="1:9" ht="25.5" customHeight="1" x14ac:dyDescent="0.45">
      <c r="A63" s="35"/>
      <c r="B63" s="78"/>
      <c r="C63" s="79"/>
      <c r="D63" s="79"/>
      <c r="E63" s="79"/>
      <c r="F63" s="79"/>
      <c r="G63" s="88"/>
      <c r="H63" s="1120"/>
      <c r="I63" s="35"/>
    </row>
    <row r="64" spans="1:9" ht="27" customHeight="1" thickBot="1" x14ac:dyDescent="0.5">
      <c r="A64" s="35"/>
      <c r="B64" s="80"/>
      <c r="C64" s="81"/>
      <c r="D64" s="81"/>
      <c r="E64" s="81"/>
      <c r="F64" s="81"/>
      <c r="G64" s="89"/>
      <c r="H64" s="1121"/>
      <c r="I64" s="35"/>
    </row>
    <row r="65" spans="1:10" ht="43.5" customHeight="1" thickBot="1" x14ac:dyDescent="0.25">
      <c r="A65" s="82" t="s">
        <v>24</v>
      </c>
      <c r="B65" s="1098" t="s">
        <v>380</v>
      </c>
      <c r="C65" s="1098"/>
      <c r="D65" s="1098"/>
      <c r="E65" s="1098"/>
      <c r="F65" s="48"/>
      <c r="G65" s="1098" t="s">
        <v>335</v>
      </c>
      <c r="H65" s="1099"/>
      <c r="I65" s="36"/>
      <c r="J65" s="36"/>
    </row>
  </sheetData>
  <mergeCells count="14">
    <mergeCell ref="G65:H65"/>
    <mergeCell ref="B65:E65"/>
    <mergeCell ref="D2:F2"/>
    <mergeCell ref="G2:H2"/>
    <mergeCell ref="D3:F3"/>
    <mergeCell ref="G3:H3"/>
    <mergeCell ref="D5:F5"/>
    <mergeCell ref="G5:G6"/>
    <mergeCell ref="H31:H34"/>
    <mergeCell ref="H36:H43"/>
    <mergeCell ref="H44:H49"/>
    <mergeCell ref="H50:H64"/>
    <mergeCell ref="H5:H6"/>
    <mergeCell ref="H7:H30"/>
  </mergeCells>
  <printOptions horizontalCentered="1"/>
  <pageMargins left="0" right="0" top="0.74803149606299213" bottom="0.74803149606299213" header="0.31496062992125984" footer="0.31496062992125984"/>
  <pageSetup scale="61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3"/>
  <sheetViews>
    <sheetView topLeftCell="B1" zoomScale="70" zoomScaleNormal="70" workbookViewId="0">
      <selection activeCell="H3" sqref="H3"/>
    </sheetView>
  </sheetViews>
  <sheetFormatPr defaultColWidth="9.140625" defaultRowHeight="12.75" x14ac:dyDescent="0.2"/>
  <cols>
    <col min="1" max="1" width="0.7109375" style="5" hidden="1" customWidth="1"/>
    <col min="2" max="7" width="24.7109375" style="5" customWidth="1"/>
    <col min="8" max="8" width="54.28515625" style="5" customWidth="1"/>
    <col min="9" max="16384" width="9.140625" style="5"/>
  </cols>
  <sheetData>
    <row r="1" spans="1:8" ht="12" customHeight="1" thickBot="1" x14ac:dyDescent="0.25"/>
    <row r="2" spans="1:8" ht="30" customHeight="1" x14ac:dyDescent="0.2">
      <c r="B2" s="1124"/>
      <c r="C2" s="1125"/>
      <c r="D2" s="1125"/>
      <c r="E2" s="1142" t="s">
        <v>333</v>
      </c>
      <c r="F2" s="1142"/>
      <c r="G2" s="1142"/>
      <c r="H2" s="83" t="s">
        <v>311</v>
      </c>
    </row>
    <row r="3" spans="1:8" ht="30" customHeight="1" thickBot="1" x14ac:dyDescent="0.25">
      <c r="B3" s="1126"/>
      <c r="C3" s="1127"/>
      <c r="D3" s="1127"/>
      <c r="E3" s="1143" t="s">
        <v>331</v>
      </c>
      <c r="F3" s="1143"/>
      <c r="G3" s="1143"/>
      <c r="H3" s="17" t="s">
        <v>254</v>
      </c>
    </row>
    <row r="4" spans="1:8" ht="5.25" customHeight="1" thickBot="1" x14ac:dyDescent="0.25">
      <c r="E4" s="6"/>
      <c r="F4" s="6"/>
      <c r="G4" s="6"/>
      <c r="H4" s="6"/>
    </row>
    <row r="5" spans="1:8" ht="18.75" customHeight="1" x14ac:dyDescent="0.35">
      <c r="A5" s="18"/>
      <c r="B5" s="1138" t="s">
        <v>322</v>
      </c>
      <c r="C5" s="1133" t="s">
        <v>189</v>
      </c>
      <c r="D5" s="1133"/>
      <c r="E5" s="1133"/>
      <c r="F5" s="1136" t="s">
        <v>204</v>
      </c>
      <c r="G5" s="1134" t="s">
        <v>214</v>
      </c>
      <c r="H5" s="1140" t="s">
        <v>205</v>
      </c>
    </row>
    <row r="6" spans="1:8" ht="39" customHeight="1" thickBot="1" x14ac:dyDescent="0.25">
      <c r="A6" s="19"/>
      <c r="B6" s="1139"/>
      <c r="C6" s="23">
        <v>1403</v>
      </c>
      <c r="D6" s="23">
        <v>1402</v>
      </c>
      <c r="E6" s="23">
        <v>1401</v>
      </c>
      <c r="F6" s="1137"/>
      <c r="G6" s="1135"/>
      <c r="H6" s="1141"/>
    </row>
    <row r="7" spans="1:8" ht="45" customHeight="1" x14ac:dyDescent="0.2">
      <c r="A7" s="19"/>
      <c r="B7" s="22"/>
      <c r="C7" s="22"/>
      <c r="D7" s="22"/>
      <c r="E7" s="15"/>
      <c r="F7" s="16"/>
      <c r="G7" s="24"/>
      <c r="H7" s="27"/>
    </row>
    <row r="8" spans="1:8" ht="48" customHeight="1" x14ac:dyDescent="0.2">
      <c r="A8" s="19"/>
      <c r="B8" s="10"/>
      <c r="C8" s="10"/>
      <c r="D8" s="10"/>
      <c r="E8" s="12"/>
      <c r="F8" s="11"/>
      <c r="G8" s="25"/>
      <c r="H8" s="28"/>
    </row>
    <row r="9" spans="1:8" ht="41.25" customHeight="1" x14ac:dyDescent="0.2">
      <c r="A9" s="19"/>
      <c r="B9" s="10"/>
      <c r="C9" s="10"/>
      <c r="D9" s="10"/>
      <c r="E9" s="12"/>
      <c r="F9" s="11"/>
      <c r="G9" s="25"/>
      <c r="H9" s="29"/>
    </row>
    <row r="10" spans="1:8" ht="32.25" customHeight="1" x14ac:dyDescent="0.4">
      <c r="A10" s="19"/>
      <c r="B10" s="10"/>
      <c r="C10" s="10"/>
      <c r="D10" s="10"/>
      <c r="E10" s="13"/>
      <c r="F10" s="13"/>
      <c r="G10" s="26"/>
      <c r="H10" s="30"/>
    </row>
    <row r="11" spans="1:8" ht="35.25" customHeight="1" x14ac:dyDescent="0.4">
      <c r="A11" s="19"/>
      <c r="B11" s="10"/>
      <c r="C11" s="10"/>
      <c r="D11" s="10"/>
      <c r="E11" s="12"/>
      <c r="F11" s="11"/>
      <c r="G11" s="25"/>
      <c r="H11" s="30"/>
    </row>
    <row r="12" spans="1:8" ht="33.75" customHeight="1" x14ac:dyDescent="0.2">
      <c r="A12" s="19"/>
      <c r="B12" s="10"/>
      <c r="C12" s="10"/>
      <c r="D12" s="10"/>
      <c r="E12" s="12"/>
      <c r="F12" s="11"/>
      <c r="G12" s="25"/>
      <c r="H12" s="29"/>
    </row>
    <row r="13" spans="1:8" ht="33" customHeight="1" x14ac:dyDescent="0.2">
      <c r="A13" s="19"/>
      <c r="B13" s="10"/>
      <c r="C13" s="10"/>
      <c r="D13" s="10"/>
      <c r="E13" s="12"/>
      <c r="F13" s="11"/>
      <c r="G13" s="25"/>
      <c r="H13" s="29"/>
    </row>
    <row r="14" spans="1:8" ht="33.75" customHeight="1" x14ac:dyDescent="0.4">
      <c r="A14" s="19"/>
      <c r="B14" s="10"/>
      <c r="C14" s="10"/>
      <c r="D14" s="10"/>
      <c r="E14" s="12"/>
      <c r="F14" s="11"/>
      <c r="G14" s="25"/>
      <c r="H14" s="30"/>
    </row>
    <row r="15" spans="1:8" ht="27" customHeight="1" x14ac:dyDescent="0.4">
      <c r="A15" s="19"/>
      <c r="B15" s="10"/>
      <c r="C15" s="10"/>
      <c r="D15" s="10"/>
      <c r="E15" s="12"/>
      <c r="F15" s="13"/>
      <c r="G15" s="26"/>
      <c r="H15" s="30"/>
    </row>
    <row r="16" spans="1:8" ht="29.25" customHeight="1" x14ac:dyDescent="0.4">
      <c r="A16" s="19"/>
      <c r="B16" s="10"/>
      <c r="C16" s="10"/>
      <c r="D16" s="10"/>
      <c r="E16" s="12"/>
      <c r="F16" s="11"/>
      <c r="G16" s="25"/>
      <c r="H16" s="30"/>
    </row>
    <row r="17" spans="1:10" ht="30" customHeight="1" x14ac:dyDescent="0.2">
      <c r="A17" s="19"/>
      <c r="B17" s="10"/>
      <c r="C17" s="10"/>
      <c r="D17" s="10"/>
      <c r="E17" s="12"/>
      <c r="F17" s="11"/>
      <c r="G17" s="25"/>
      <c r="H17" s="29"/>
    </row>
    <row r="18" spans="1:10" ht="21.75" customHeight="1" x14ac:dyDescent="0.2">
      <c r="A18" s="19"/>
      <c r="B18" s="10"/>
      <c r="C18" s="10"/>
      <c r="D18" s="10"/>
      <c r="E18" s="12"/>
      <c r="F18" s="11"/>
      <c r="G18" s="25"/>
      <c r="H18" s="29"/>
    </row>
    <row r="19" spans="1:10" ht="27.75" customHeight="1" x14ac:dyDescent="0.2">
      <c r="A19" s="19"/>
      <c r="B19" s="10"/>
      <c r="C19" s="10"/>
      <c r="D19" s="10"/>
      <c r="E19" s="12"/>
      <c r="F19" s="11"/>
      <c r="G19" s="25"/>
      <c r="H19" s="29"/>
    </row>
    <row r="20" spans="1:10" ht="36.75" customHeight="1" x14ac:dyDescent="0.4">
      <c r="A20" s="19"/>
      <c r="B20" s="10"/>
      <c r="C20" s="10"/>
      <c r="D20" s="10"/>
      <c r="E20" s="13"/>
      <c r="F20" s="13"/>
      <c r="G20" s="26"/>
      <c r="H20" s="29"/>
    </row>
    <row r="21" spans="1:10" ht="30.75" customHeight="1" thickBot="1" x14ac:dyDescent="0.25">
      <c r="A21" s="19"/>
      <c r="B21" s="10"/>
      <c r="C21" s="10"/>
      <c r="D21" s="10"/>
      <c r="E21" s="12"/>
      <c r="F21" s="11"/>
      <c r="G21" s="25"/>
      <c r="H21" s="29"/>
    </row>
    <row r="22" spans="1:10" ht="44.25" customHeight="1" thickBot="1" x14ac:dyDescent="0.5">
      <c r="A22" s="20"/>
      <c r="B22" s="1130" t="s">
        <v>190</v>
      </c>
      <c r="C22" s="1131"/>
      <c r="D22" s="1131"/>
      <c r="E22" s="1131"/>
      <c r="F22" s="1131"/>
      <c r="G22" s="1131"/>
      <c r="H22" s="1132"/>
      <c r="I22" s="8"/>
    </row>
    <row r="23" spans="1:10" ht="43.5" customHeight="1" thickBot="1" x14ac:dyDescent="0.25">
      <c r="A23" s="1128" t="str">
        <f>'[1] فرم 1 '!F28</f>
        <v>رئيس كميسيون دائمي هيات امنا - نام و نام خانوادگی : دکتر رضا قنبری</v>
      </c>
      <c r="B23" s="1129"/>
      <c r="C23" s="1129"/>
      <c r="D23" s="1129"/>
      <c r="E23" s="1129"/>
      <c r="F23" s="1129"/>
      <c r="G23" s="14"/>
      <c r="H23" s="21" t="str">
        <f>'[1] فرم 1 '!M28</f>
        <v>رییس دستگاه اجرایی : دکتر محسن نظری</v>
      </c>
      <c r="I23" s="9"/>
      <c r="J23" s="9"/>
    </row>
  </sheetData>
  <mergeCells count="10">
    <mergeCell ref="B2:D3"/>
    <mergeCell ref="A23:F23"/>
    <mergeCell ref="B22:H22"/>
    <mergeCell ref="C5:E5"/>
    <mergeCell ref="G5:G6"/>
    <mergeCell ref="F5:F6"/>
    <mergeCell ref="B5:B6"/>
    <mergeCell ref="H5:H6"/>
    <mergeCell ref="E2:G2"/>
    <mergeCell ref="E3:G3"/>
  </mergeCells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6A3D05-1357-4019-83EB-93D6FDC6FF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A25EE3-BD86-4704-850D-462575EB8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ED0DDAD-F1DE-43EC-8D9C-8A03E585A0F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 فرم 1 </vt:lpstr>
      <vt:lpstr>فرم 2</vt:lpstr>
      <vt:lpstr>فرم 3 </vt:lpstr>
      <vt:lpstr>فرم 4</vt:lpstr>
      <vt:lpstr>فرم 5 </vt:lpstr>
      <vt:lpstr>فرم1-5 </vt:lpstr>
      <vt:lpstr>فرم 6 </vt:lpstr>
      <vt:lpstr>فرم 7</vt:lpstr>
      <vt:lpstr>فرم 8 </vt:lpstr>
      <vt:lpstr>فرم 9</vt:lpstr>
      <vt:lpstr>فرم 10</vt:lpstr>
      <vt:lpstr>' فرم 1 '!Print_Area</vt:lpstr>
      <vt:lpstr>'فرم 3 '!Print_Area</vt:lpstr>
      <vt:lpstr>'فرم 4'!Print_Area</vt:lpstr>
      <vt:lpstr>'فرم 5 '!Print_Area</vt:lpstr>
      <vt:lpstr>'فرم 8 '!Print_Area</vt:lpstr>
      <vt:lpstr>'فرم 9'!Print_Area</vt:lpstr>
      <vt:lpstr>'فرم1-5 '!Print_Area</vt:lpstr>
      <vt:lpstr>'فرم 5 '!Print_Titles</vt:lpstr>
      <vt:lpstr>'فرم 9'!Print_Titles</vt:lpstr>
      <vt:lpstr>'فرم1-5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sedaghat</dc:creator>
  <cp:lastModifiedBy>armin.lakajana1979@gmail.com</cp:lastModifiedBy>
  <cp:lastPrinted>2025-07-26T03:53:32Z</cp:lastPrinted>
  <dcterms:created xsi:type="dcterms:W3CDTF">2002-04-14T06:06:02Z</dcterms:created>
  <dcterms:modified xsi:type="dcterms:W3CDTF">2026-07-02T14:21:20Z</dcterms:modified>
</cp:coreProperties>
</file>