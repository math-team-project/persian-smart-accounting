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2.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5.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6.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7.xml" ContentType="application/vnd.openxmlformats-officedocument.drawingml.chart+xml"/>
  <Override PartName="/xl/drawings/drawing1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24226"/>
  <mc:AlternateContent xmlns:mc="http://schemas.openxmlformats.org/markup-compatibility/2006">
    <mc:Choice Requires="x15">
      <x15ac:absPath xmlns:x15ac="http://schemas.microsoft.com/office/spreadsheetml/2010/11/ac" url="C:\Users\Armin KHoojavi\Downloads\persian-smart-accounting1\extraction_script\data\"/>
    </mc:Choice>
  </mc:AlternateContent>
  <xr:revisionPtr revIDLastSave="0" documentId="13_ncr:1_{55D11320-BA90-47CE-BF05-178F525F937A}" xr6:coauthVersionLast="47" xr6:coauthVersionMax="47" xr10:uidLastSave="{00000000-0000-0000-0000-000000000000}"/>
  <bookViews>
    <workbookView xWindow="-120" yWindow="-120" windowWidth="29040" windowHeight="16440" tabRatio="944" firstSheet="13" activeTab="28" xr2:uid="{00000000-000D-0000-FFFF-FFFF00000000}"/>
  </bookViews>
  <sheets>
    <sheet name="فهرست" sheetId="26" r:id="rId1"/>
    <sheet name="ت" sheetId="65" r:id="rId2"/>
    <sheet name="ع" sheetId="64" r:id="rId3"/>
    <sheet name="تفریغ" sheetId="66" r:id="rId4"/>
    <sheet name="منابع ومصارف" sheetId="69" r:id="rId5"/>
    <sheet name="حمایت ها" sheetId="119" r:id="rId6"/>
    <sheet name="تعدیلات" sheetId="108" r:id="rId7"/>
    <sheet name="يادداشتها" sheetId="76" r:id="rId8"/>
    <sheet name="یادداشتها2" sheetId="120" r:id="rId9"/>
    <sheet name="وضعيت پردا غ ق" sheetId="94" r:id="rId10"/>
    <sheet name="ن7" sheetId="95" r:id="rId11"/>
    <sheet name="مانده پرداختهای غیر قطعی سن" sheetId="116" r:id="rId12"/>
    <sheet name="مانده پرداختهای غیر قطعی جا" sheetId="117" r:id="rId13"/>
    <sheet name="دارایی ثابت مشهود" sheetId="70" r:id="rId14"/>
    <sheet name="دارایی نامشهود" sheetId="118" r:id="rId15"/>
    <sheet name="دارایی ثابت قدیمی" sheetId="109" r:id="rId16"/>
    <sheet name="دارایی ثابت (2)" sheetId="110" r:id="rId17"/>
    <sheet name="دارایی ثابت (3)" sheetId="111" r:id="rId18"/>
    <sheet name="درآمد دولت" sheetId="107" r:id="rId19"/>
    <sheet name="ن6" sheetId="103" r:id="rId20"/>
    <sheet name=" مصوب" sheetId="9" r:id="rId21"/>
    <sheet name="ن2" sheetId="98" r:id="rId22"/>
    <sheet name="ن1" sheetId="99" r:id="rId23"/>
    <sheet name="ن3" sheetId="100" r:id="rId24"/>
    <sheet name="وجوه مصرف نشده" sheetId="73" r:id="rId25"/>
    <sheet name="ن4" sheetId="101" r:id="rId26"/>
    <sheet name="ابلاغي" sheetId="74" r:id="rId27"/>
    <sheet name="ن5" sheetId="102" r:id="rId28"/>
    <sheet name="سايرمنابع جاری" sheetId="80" r:id="rId29"/>
    <sheet name="عوامل هزینه" sheetId="79" r:id="rId30"/>
    <sheet name="ثبت ها" sheetId="77" r:id="rId31"/>
  </sheets>
  <externalReferences>
    <externalReference r:id="rId32"/>
    <externalReference r:id="rId33"/>
  </externalReferences>
  <definedNames>
    <definedName name="_xlnm._FilterDatabase" localSheetId="29" hidden="1">'عوامل هزینه'!$A$1:$I$86</definedName>
    <definedName name="_xlnm._FilterDatabase" localSheetId="12" hidden="1">'مانده پرداختهای غیر قطعی جا'!$A$3:$F$31</definedName>
    <definedName name="_xlnm._FilterDatabase" localSheetId="11" hidden="1">'مانده پرداختهای غیر قطعی سن'!$A$3:$G$118</definedName>
    <definedName name="_xlnm.Print_Area" localSheetId="20">' مصوب'!$A$1:$S$20</definedName>
    <definedName name="_xlnm.Print_Area" localSheetId="26">ابلاغي!$A$1:$L$19</definedName>
    <definedName name="_xlnm.Print_Area" localSheetId="1">ت!$A$1:$O$26</definedName>
    <definedName name="_xlnm.Print_Area" localSheetId="3">تفریغ!$A$1:$J$25</definedName>
    <definedName name="_xlnm.Print_Area" localSheetId="5">'حمایت ها'!$A$1:$E$89</definedName>
    <definedName name="_xlnm.Print_Area" localSheetId="16">'دارایی ثابت (2)'!$A$1:$Q$27</definedName>
    <definedName name="_xlnm.Print_Area" localSheetId="17">'دارایی ثابت (3)'!$A$1:$Q$21</definedName>
    <definedName name="_xlnm.Print_Area" localSheetId="15">'دارایی ثابت قدیمی'!$A$1:$W$19</definedName>
    <definedName name="_xlnm.Print_Area" localSheetId="13">'دارایی ثابت مشهود'!$A$1:$O$18</definedName>
    <definedName name="_xlnm.Print_Area" localSheetId="14">'دارایی نامشهود'!$A$1:$O$11</definedName>
    <definedName name="_xlnm.Print_Area" localSheetId="18">'درآمد دولت'!$A$1:$E$21</definedName>
    <definedName name="_xlnm.Print_Area" localSheetId="28">'سايرمنابع جاری'!$A$1:$L$18</definedName>
    <definedName name="_xlnm.Print_Area" localSheetId="2">ع!$A$1:$I$36</definedName>
    <definedName name="_xlnm.Print_Area" localSheetId="0">فهرست!$A$1:$I$24</definedName>
    <definedName name="_xlnm.Print_Area" localSheetId="12">'مانده پرداختهای غیر قطعی جا'!$A$1:$F$36</definedName>
    <definedName name="_xlnm.Print_Area" localSheetId="11">'مانده پرداختهای غیر قطعی سن'!$A$1:$F$41</definedName>
    <definedName name="_xlnm.Print_Area" localSheetId="4">'منابع ومصارف'!$A$1:$I$59</definedName>
    <definedName name="_xlnm.Print_Area" localSheetId="22">ن1!$A$1:$M$31</definedName>
    <definedName name="_xlnm.Print_Area" localSheetId="21">ن2!$A$1:$M$33</definedName>
    <definedName name="_xlnm.Print_Area" localSheetId="23">ن3!$A$1:$K$28</definedName>
    <definedName name="_xlnm.Print_Area" localSheetId="25">ن4!$A$1:$J$30</definedName>
    <definedName name="_xlnm.Print_Area" localSheetId="27">ن5!$A$1:$L$28</definedName>
    <definedName name="_xlnm.Print_Area" localSheetId="19">ن6!$A$1:$O$27</definedName>
    <definedName name="_xlnm.Print_Area" localSheetId="10">ن7!$A$1:$H$28</definedName>
    <definedName name="_xlnm.Print_Area" localSheetId="24">'وجوه مصرف نشده'!$A$1:$T$29</definedName>
    <definedName name="_xlnm.Print_Area" localSheetId="9">'وضعيت پردا غ ق'!$A$1:$L$13</definedName>
    <definedName name="_xlnm.Print_Area" localSheetId="7">يادداشتها!$A$194:$H$417</definedName>
    <definedName name="_xlnm.Print_Area" localSheetId="8">یادداشتها2!$A$1:$F$35</definedName>
    <definedName name="_xlnm.Print_Titles" localSheetId="5">'حمایت ها'!$1:$3</definedName>
    <definedName name="_xlnm.Print_Titles" localSheetId="12">'مانده پرداختهای غیر قطعی جا'!$1:$4</definedName>
    <definedName name="_xlnm.Print_Titles" localSheetId="11">'مانده پرداختهای غیر قطعی سن'!$1:$4</definedName>
    <definedName name="_xlnm.Print_Titles" localSheetId="24">'وجوه مصرف نشده'!$2:$6</definedName>
    <definedName name="_xlnm.Print_Titles" localSheetId="9">'وضعيت پردا غ ق'!$2:$5</definedName>
    <definedName name="_xlnm.Print_Titles" localSheetId="7">يادداشتها!$1:$3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74" l="1"/>
  <c r="C14" i="94" l="1"/>
  <c r="D14" i="94"/>
  <c r="H84" i="76" l="1"/>
  <c r="I26" i="64"/>
  <c r="I27" i="64"/>
  <c r="H207" i="76"/>
  <c r="I29" i="64"/>
  <c r="G56" i="69"/>
  <c r="G10" i="70"/>
  <c r="E10" i="70"/>
  <c r="F27" i="120" l="1"/>
  <c r="H23" i="120"/>
  <c r="D23" i="120"/>
  <c r="D22" i="120"/>
  <c r="D21" i="120"/>
  <c r="D7" i="120"/>
  <c r="F4" i="120"/>
  <c r="F7" i="120" s="1"/>
  <c r="D27" i="120" l="1"/>
  <c r="E56" i="69" l="1"/>
  <c r="F6" i="108"/>
  <c r="E6" i="108"/>
  <c r="E9" i="108" s="1"/>
  <c r="D6" i="108"/>
  <c r="G6" i="108" s="1"/>
  <c r="F438" i="76" l="1"/>
  <c r="E27" i="64" s="1"/>
  <c r="F354" i="76" l="1"/>
  <c r="F353" i="76"/>
  <c r="F46" i="76"/>
  <c r="E46" i="69" l="1"/>
  <c r="E47" i="69"/>
  <c r="E89" i="119" l="1"/>
  <c r="E10" i="119" s="1"/>
  <c r="E84" i="119"/>
  <c r="E9" i="119" s="1"/>
  <c r="E44" i="119"/>
  <c r="E8" i="119" s="1"/>
  <c r="E11" i="119" l="1"/>
  <c r="F218" i="76" l="1"/>
  <c r="F219" i="76"/>
  <c r="F408" i="76" l="1"/>
  <c r="I16" i="73" l="1"/>
  <c r="F414" i="76" l="1"/>
  <c r="H415" i="76"/>
  <c r="F415" i="76"/>
  <c r="H374" i="76" l="1"/>
  <c r="H360" i="76"/>
  <c r="H378" i="76"/>
  <c r="H363" i="76"/>
  <c r="K11" i="9" l="1"/>
  <c r="F235" i="76"/>
  <c r="F94" i="76"/>
  <c r="H177" i="76"/>
  <c r="L11" i="118"/>
  <c r="K11" i="118"/>
  <c r="F401" i="76" s="1"/>
  <c r="J11" i="118"/>
  <c r="G11" i="118"/>
  <c r="G57" i="69" s="1"/>
  <c r="F11" i="118"/>
  <c r="E11" i="118"/>
  <c r="O10" i="118"/>
  <c r="M10" i="118"/>
  <c r="H10" i="118"/>
  <c r="O9" i="118"/>
  <c r="H175" i="76" s="1"/>
  <c r="M9" i="118"/>
  <c r="H9" i="118"/>
  <c r="O8" i="118"/>
  <c r="H176" i="76" s="1"/>
  <c r="M8" i="118"/>
  <c r="F191" i="76" s="1"/>
  <c r="H8" i="118"/>
  <c r="F190" i="76" s="1"/>
  <c r="F13" i="70"/>
  <c r="F16" i="70" s="1"/>
  <c r="I13" i="70"/>
  <c r="I16" i="70" s="1"/>
  <c r="J13" i="70"/>
  <c r="J16" i="70" s="1"/>
  <c r="E13" i="70"/>
  <c r="E16" i="70" s="1"/>
  <c r="D7" i="108" s="1"/>
  <c r="F169" i="76"/>
  <c r="F168" i="76"/>
  <c r="F156" i="76"/>
  <c r="H148" i="76"/>
  <c r="H79" i="76"/>
  <c r="F79" i="76"/>
  <c r="H85" i="76"/>
  <c r="H71" i="76" s="1"/>
  <c r="F85" i="76"/>
  <c r="F71" i="76" s="1"/>
  <c r="E49" i="69"/>
  <c r="E58" i="69"/>
  <c r="G26" i="69"/>
  <c r="G55" i="69"/>
  <c r="F327" i="76"/>
  <c r="F370" i="76"/>
  <c r="F375" i="76"/>
  <c r="F390" i="76"/>
  <c r="F360" i="76"/>
  <c r="F362" i="76"/>
  <c r="F384" i="76"/>
  <c r="F392" i="76"/>
  <c r="F352" i="76"/>
  <c r="F361" i="76"/>
  <c r="F374" i="76"/>
  <c r="G42" i="69" s="1"/>
  <c r="I42" i="69" s="1"/>
  <c r="F393" i="76"/>
  <c r="G48" i="69" s="1"/>
  <c r="F364" i="76"/>
  <c r="F365" i="76"/>
  <c r="F366" i="76"/>
  <c r="F369" i="76"/>
  <c r="F368" i="76"/>
  <c r="F367" i="76"/>
  <c r="F391" i="76"/>
  <c r="F376" i="76"/>
  <c r="F377" i="76"/>
  <c r="F363" i="76"/>
  <c r="F372" i="76"/>
  <c r="F373" i="76"/>
  <c r="F371" i="76"/>
  <c r="F378" i="76"/>
  <c r="G25" i="69"/>
  <c r="G24" i="69"/>
  <c r="F351" i="76"/>
  <c r="F413" i="76"/>
  <c r="F148" i="76"/>
  <c r="H178" i="76" l="1"/>
  <c r="H11" i="118"/>
  <c r="N9" i="118"/>
  <c r="F175" i="76" s="1"/>
  <c r="O11" i="118"/>
  <c r="G16" i="65" s="1"/>
  <c r="N8" i="118"/>
  <c r="F176" i="76" s="1"/>
  <c r="N10" i="118"/>
  <c r="F177" i="76" s="1"/>
  <c r="M11" i="118"/>
  <c r="F155" i="76"/>
  <c r="E13" i="69"/>
  <c r="F178" i="76" l="1"/>
  <c r="N11" i="118"/>
  <c r="E16" i="65" s="1"/>
  <c r="E16" i="9"/>
  <c r="E17" i="9"/>
  <c r="E18" i="9"/>
  <c r="E19" i="9"/>
  <c r="E15" i="9"/>
  <c r="E10" i="117"/>
  <c r="F10" i="117"/>
  <c r="F7" i="94"/>
  <c r="F6" i="94"/>
  <c r="F5" i="94"/>
  <c r="D6" i="94"/>
  <c r="D7" i="94"/>
  <c r="C7" i="94"/>
  <c r="D5" i="94"/>
  <c r="C5" i="94"/>
  <c r="F325" i="76" l="1"/>
  <c r="F11" i="9"/>
  <c r="G11" i="9" s="1"/>
  <c r="I14" i="9"/>
  <c r="I10" i="9"/>
  <c r="I6" i="9"/>
  <c r="J15" i="9"/>
  <c r="C24" i="73"/>
  <c r="C19" i="73"/>
  <c r="Q16" i="9"/>
  <c r="G16" i="9"/>
  <c r="J16" i="9" s="1"/>
  <c r="R16" i="9" l="1"/>
  <c r="I20" i="9"/>
  <c r="T19" i="73" l="1"/>
  <c r="R19" i="73"/>
  <c r="Q19" i="73"/>
  <c r="P19" i="73"/>
  <c r="O19" i="73"/>
  <c r="N19" i="73"/>
  <c r="L19" i="73"/>
  <c r="K19" i="73"/>
  <c r="J19" i="73"/>
  <c r="I19" i="73"/>
  <c r="G19" i="73"/>
  <c r="F19" i="73"/>
  <c r="E19" i="73"/>
  <c r="D19" i="73"/>
  <c r="F312" i="76" s="1"/>
  <c r="H27" i="73"/>
  <c r="H26" i="73"/>
  <c r="H25" i="73"/>
  <c r="H23" i="73"/>
  <c r="H22" i="73"/>
  <c r="H21" i="73"/>
  <c r="H20" i="73"/>
  <c r="H18" i="73"/>
  <c r="H15" i="73"/>
  <c r="H14" i="73"/>
  <c r="H12" i="73"/>
  <c r="H11" i="73"/>
  <c r="H10" i="73"/>
  <c r="H8" i="73"/>
  <c r="H235" i="76"/>
  <c r="H186" i="76"/>
  <c r="H19" i="73" l="1"/>
  <c r="K9" i="9"/>
  <c r="L9" i="9"/>
  <c r="M10" i="70" l="1"/>
  <c r="M11" i="70"/>
  <c r="K9" i="70"/>
  <c r="L12" i="70"/>
  <c r="E21" i="64"/>
  <c r="M12" i="70" l="1"/>
  <c r="L13" i="70"/>
  <c r="L16" i="70" s="1"/>
  <c r="M9" i="70"/>
  <c r="K13" i="70"/>
  <c r="K16" i="70" s="1"/>
  <c r="E26" i="64"/>
  <c r="H336" i="76"/>
  <c r="F335" i="76"/>
  <c r="F336" i="76" s="1"/>
  <c r="F291" i="76" l="1"/>
  <c r="F281" i="76"/>
  <c r="H283" i="76"/>
  <c r="F454" i="76" l="1"/>
  <c r="F452" i="76"/>
  <c r="J454" i="76" s="1"/>
  <c r="F453" i="76"/>
  <c r="F32" i="117" l="1"/>
  <c r="E32" i="117"/>
  <c r="F29" i="117"/>
  <c r="F33" i="117" s="1"/>
  <c r="E29" i="117"/>
  <c r="F26" i="117"/>
  <c r="E26" i="117"/>
  <c r="E27" i="117" s="1"/>
  <c r="F108" i="76" s="1"/>
  <c r="F39" i="116"/>
  <c r="F37" i="116"/>
  <c r="E37" i="116"/>
  <c r="E40" i="116" s="1"/>
  <c r="E33" i="116"/>
  <c r="F24" i="116"/>
  <c r="D24" i="116"/>
  <c r="B24" i="116"/>
  <c r="F23" i="116"/>
  <c r="D23" i="116"/>
  <c r="B23" i="116"/>
  <c r="F22" i="116"/>
  <c r="E22" i="116"/>
  <c r="F16" i="116"/>
  <c r="E16" i="116"/>
  <c r="F14" i="116"/>
  <c r="F6" i="116"/>
  <c r="E6" i="116"/>
  <c r="F109" i="76" s="1"/>
  <c r="F110" i="76" l="1"/>
  <c r="E17" i="116"/>
  <c r="F17" i="116"/>
  <c r="E33" i="117"/>
  <c r="E34" i="117" s="1"/>
  <c r="F116" i="76"/>
  <c r="F27" i="117"/>
  <c r="F34" i="117" s="1"/>
  <c r="F40" i="116"/>
  <c r="E34" i="116"/>
  <c r="E41" i="116" s="1"/>
  <c r="K14" i="94" s="1"/>
  <c r="F117" i="76"/>
  <c r="F33" i="116"/>
  <c r="F34" i="116" s="1"/>
  <c r="F41" i="116" l="1"/>
  <c r="L14" i="94" s="1"/>
  <c r="E35" i="117"/>
  <c r="E36" i="117" s="1"/>
  <c r="F35" i="117"/>
  <c r="F36" i="117" s="1"/>
  <c r="F9" i="94"/>
  <c r="E5" i="94" l="1"/>
  <c r="E7" i="94"/>
  <c r="F28" i="76" l="1"/>
  <c r="K8" i="80" l="1"/>
  <c r="K9" i="80"/>
  <c r="K10" i="80"/>
  <c r="K11" i="80"/>
  <c r="K12" i="80"/>
  <c r="K13" i="80"/>
  <c r="K14" i="80"/>
  <c r="K15" i="80"/>
  <c r="K16" i="80"/>
  <c r="K17" i="80"/>
  <c r="G8" i="80"/>
  <c r="L8" i="80" s="1"/>
  <c r="G9" i="80"/>
  <c r="L9" i="80" s="1"/>
  <c r="G10" i="80"/>
  <c r="G11" i="80"/>
  <c r="G12" i="80"/>
  <c r="L12" i="80" s="1"/>
  <c r="G13" i="80"/>
  <c r="L13" i="80" s="1"/>
  <c r="G14" i="80"/>
  <c r="G15" i="80"/>
  <c r="G16" i="80"/>
  <c r="G17" i="80"/>
  <c r="L17" i="80" s="1"/>
  <c r="M27" i="73"/>
  <c r="M26" i="73"/>
  <c r="M25" i="73"/>
  <c r="M23" i="73"/>
  <c r="M22" i="73"/>
  <c r="M21" i="73"/>
  <c r="M20" i="73"/>
  <c r="M15" i="73"/>
  <c r="M14" i="73"/>
  <c r="M13" i="73"/>
  <c r="M12" i="73"/>
  <c r="M11" i="73"/>
  <c r="Q19" i="9"/>
  <c r="Q18" i="9"/>
  <c r="Q17" i="9"/>
  <c r="Q15" i="9"/>
  <c r="R15" i="9" s="1"/>
  <c r="Q13" i="9"/>
  <c r="Q12" i="9"/>
  <c r="Q11" i="9"/>
  <c r="Q9" i="9"/>
  <c r="Q8" i="9"/>
  <c r="J14" i="74"/>
  <c r="J13" i="74"/>
  <c r="J12" i="74"/>
  <c r="J11" i="74"/>
  <c r="J10" i="74"/>
  <c r="J9" i="74"/>
  <c r="J8" i="74"/>
  <c r="J7" i="74"/>
  <c r="F282" i="76" s="1"/>
  <c r="J18" i="74"/>
  <c r="K18" i="74" s="1"/>
  <c r="K15" i="74" s="1"/>
  <c r="J16" i="74"/>
  <c r="J17" i="74"/>
  <c r="K7" i="80"/>
  <c r="G7" i="80"/>
  <c r="E15" i="74"/>
  <c r="F15" i="74"/>
  <c r="G15" i="74"/>
  <c r="H15" i="74"/>
  <c r="I15" i="74"/>
  <c r="C15" i="74"/>
  <c r="D6" i="74"/>
  <c r="F6" i="74"/>
  <c r="G6" i="74"/>
  <c r="H6" i="74"/>
  <c r="I6" i="74"/>
  <c r="L15" i="80" l="1"/>
  <c r="L11" i="80"/>
  <c r="L14" i="80"/>
  <c r="L10" i="80"/>
  <c r="L16" i="80"/>
  <c r="M19" i="73"/>
  <c r="L7" i="80"/>
  <c r="F313" i="76" l="1"/>
  <c r="S23" i="73"/>
  <c r="S22" i="73"/>
  <c r="S21" i="73"/>
  <c r="S20" i="73"/>
  <c r="I18" i="73"/>
  <c r="M18" i="73" s="1"/>
  <c r="I8" i="73"/>
  <c r="M8" i="73" s="1"/>
  <c r="T24" i="73"/>
  <c r="T7" i="73"/>
  <c r="T9" i="73"/>
  <c r="T17" i="73"/>
  <c r="F8" i="9"/>
  <c r="M16" i="73"/>
  <c r="S11" i="73"/>
  <c r="S12" i="73"/>
  <c r="S14" i="73"/>
  <c r="S15" i="73"/>
  <c r="C16" i="73"/>
  <c r="H16" i="73" s="1"/>
  <c r="C13" i="73"/>
  <c r="L6" i="74"/>
  <c r="C9" i="73" l="1"/>
  <c r="T28" i="73"/>
  <c r="H13" i="73"/>
  <c r="S13" i="73" s="1"/>
  <c r="S16" i="73"/>
  <c r="S19" i="73"/>
  <c r="S8" i="73"/>
  <c r="L18" i="74"/>
  <c r="H19" i="9"/>
  <c r="J19" i="9" s="1"/>
  <c r="H18" i="9"/>
  <c r="J18" i="9" s="1"/>
  <c r="H17" i="9"/>
  <c r="J17" i="9" s="1"/>
  <c r="K10" i="9" l="1"/>
  <c r="D11" i="9"/>
  <c r="E11" i="9" s="1"/>
  <c r="F10" i="9"/>
  <c r="H10" i="9"/>
  <c r="L10" i="9"/>
  <c r="M10" i="9"/>
  <c r="N10" i="9"/>
  <c r="O10" i="9"/>
  <c r="P10" i="9"/>
  <c r="S10" i="9"/>
  <c r="C10" i="9"/>
  <c r="D10" i="9" l="1"/>
  <c r="J11" i="9"/>
  <c r="H435" i="76"/>
  <c r="H438" i="76" s="1"/>
  <c r="F411" i="76"/>
  <c r="F305" i="76"/>
  <c r="R11" i="9" l="1"/>
  <c r="F26" i="76"/>
  <c r="F16" i="76"/>
  <c r="F324" i="76" l="1"/>
  <c r="F236" i="76" l="1"/>
  <c r="H236" i="76"/>
  <c r="H209" i="76"/>
  <c r="D8" i="108" s="1"/>
  <c r="F184" i="76" l="1"/>
  <c r="F183" i="76"/>
  <c r="H15" i="70"/>
  <c r="M8" i="70"/>
  <c r="M13" i="70" s="1"/>
  <c r="M16" i="70" s="1"/>
  <c r="F186" i="76" l="1"/>
  <c r="F19" i="76"/>
  <c r="F17" i="76"/>
  <c r="O15" i="70" l="1"/>
  <c r="O12" i="70"/>
  <c r="O11" i="70"/>
  <c r="O10" i="70"/>
  <c r="O9" i="70"/>
  <c r="O8" i="70"/>
  <c r="H150" i="76"/>
  <c r="O13" i="70" l="1"/>
  <c r="O16" i="70" s="1"/>
  <c r="H269" i="76"/>
  <c r="E8" i="9" l="1"/>
  <c r="G9" i="70" l="1"/>
  <c r="G13" i="70" s="1"/>
  <c r="G16" i="70" s="1"/>
  <c r="Q29" i="111"/>
  <c r="O29" i="111"/>
  <c r="I29" i="111"/>
  <c r="Q28" i="111"/>
  <c r="O28" i="111"/>
  <c r="I28" i="111"/>
  <c r="Q27" i="111"/>
  <c r="O27" i="111"/>
  <c r="I27" i="111"/>
  <c r="P27" i="111" s="1"/>
  <c r="Q26" i="111"/>
  <c r="O26" i="111"/>
  <c r="I26" i="111"/>
  <c r="N20" i="111"/>
  <c r="M20" i="111"/>
  <c r="L20" i="111"/>
  <c r="K20" i="111"/>
  <c r="H20" i="111"/>
  <c r="G20" i="111"/>
  <c r="F20" i="111"/>
  <c r="E20" i="111"/>
  <c r="Q19" i="111"/>
  <c r="Q20" i="111" s="1"/>
  <c r="O19" i="111"/>
  <c r="O20" i="111" s="1"/>
  <c r="I19" i="111"/>
  <c r="Q14" i="111"/>
  <c r="N14" i="111"/>
  <c r="K14" i="111"/>
  <c r="E14" i="111"/>
  <c r="O13" i="111"/>
  <c r="P13" i="111" s="1"/>
  <c r="F13" i="111"/>
  <c r="O12" i="111"/>
  <c r="I12" i="111"/>
  <c r="P12" i="111" s="1"/>
  <c r="M11" i="111"/>
  <c r="M14" i="111" s="1"/>
  <c r="L11" i="111"/>
  <c r="F11" i="111"/>
  <c r="I11" i="111" s="1"/>
  <c r="L10" i="111"/>
  <c r="O10" i="111" s="1"/>
  <c r="H10" i="111"/>
  <c r="I10" i="111" s="1"/>
  <c r="P10" i="111" s="1"/>
  <c r="G10" i="111"/>
  <c r="O9" i="111"/>
  <c r="H9" i="111"/>
  <c r="F9" i="111"/>
  <c r="O8" i="111"/>
  <c r="I8" i="111"/>
  <c r="P8" i="111" s="1"/>
  <c r="P28" i="111" l="1"/>
  <c r="H14" i="111"/>
  <c r="L14" i="111"/>
  <c r="P19" i="111"/>
  <c r="P20" i="111" s="1"/>
  <c r="P29" i="111"/>
  <c r="O11" i="111"/>
  <c r="O14" i="111" s="1"/>
  <c r="P11" i="111"/>
  <c r="P26" i="111"/>
  <c r="I20" i="111"/>
  <c r="G9" i="111"/>
  <c r="G14" i="111" s="1"/>
  <c r="F14" i="111"/>
  <c r="I9" i="111" l="1"/>
  <c r="P9" i="111"/>
  <c r="P14" i="111" s="1"/>
  <c r="I14" i="111"/>
  <c r="G28" i="64" l="1"/>
  <c r="H192" i="76"/>
  <c r="B46" i="69" l="1"/>
  <c r="I56" i="69" l="1"/>
  <c r="H65" i="76"/>
  <c r="F65" i="76"/>
  <c r="F209" i="76" l="1"/>
  <c r="H12" i="70"/>
  <c r="H8" i="70"/>
  <c r="G33" i="110"/>
  <c r="G32" i="110"/>
  <c r="N26" i="110"/>
  <c r="M26" i="110"/>
  <c r="L26" i="110"/>
  <c r="K26" i="110"/>
  <c r="H26" i="110"/>
  <c r="G26" i="110"/>
  <c r="E26" i="110"/>
  <c r="D26" i="110"/>
  <c r="Q25" i="110"/>
  <c r="O25" i="110"/>
  <c r="I25" i="110"/>
  <c r="F25" i="110"/>
  <c r="Q24" i="110"/>
  <c r="O24" i="110"/>
  <c r="F24" i="110"/>
  <c r="I24" i="110" s="1"/>
  <c r="P24" i="110" s="1"/>
  <c r="Q23" i="110"/>
  <c r="O23" i="110"/>
  <c r="F23" i="110"/>
  <c r="I23" i="110" s="1"/>
  <c r="Q22" i="110"/>
  <c r="O22" i="110"/>
  <c r="F22" i="110"/>
  <c r="I22" i="110" s="1"/>
  <c r="P22" i="110" s="1"/>
  <c r="Q21" i="110"/>
  <c r="O21" i="110"/>
  <c r="F21" i="110"/>
  <c r="I21" i="110" s="1"/>
  <c r="P21" i="110" s="1"/>
  <c r="Q16" i="110"/>
  <c r="N16" i="110"/>
  <c r="K16" i="110"/>
  <c r="H16" i="110"/>
  <c r="D16" i="110"/>
  <c r="I15" i="110"/>
  <c r="P15" i="110" s="1"/>
  <c r="I14" i="110"/>
  <c r="P14" i="110" s="1"/>
  <c r="O13" i="110"/>
  <c r="I13" i="110"/>
  <c r="P13" i="110" s="1"/>
  <c r="F13" i="110"/>
  <c r="O12" i="110"/>
  <c r="I12" i="110"/>
  <c r="F12" i="110"/>
  <c r="M11" i="110"/>
  <c r="M16" i="110" s="1"/>
  <c r="L11" i="110"/>
  <c r="L16" i="110" s="1"/>
  <c r="E11" i="110"/>
  <c r="F11" i="110" s="1"/>
  <c r="L10" i="110"/>
  <c r="O10" i="110" s="1"/>
  <c r="G10" i="110"/>
  <c r="F10" i="110"/>
  <c r="E10" i="110"/>
  <c r="O9" i="110"/>
  <c r="G9" i="110"/>
  <c r="I9" i="110" s="1"/>
  <c r="F9" i="110"/>
  <c r="O8" i="110"/>
  <c r="I8" i="110"/>
  <c r="P8" i="110" s="1"/>
  <c r="F8" i="110"/>
  <c r="P12" i="110" l="1"/>
  <c r="Q26" i="110"/>
  <c r="P25" i="110"/>
  <c r="G16" i="110"/>
  <c r="I11" i="110"/>
  <c r="F26" i="110"/>
  <c r="P23" i="110"/>
  <c r="P26" i="110" s="1"/>
  <c r="F16" i="110"/>
  <c r="F18" i="110" s="1"/>
  <c r="O26" i="110"/>
  <c r="H11" i="70"/>
  <c r="I26" i="110"/>
  <c r="P9" i="110"/>
  <c r="I10" i="110"/>
  <c r="P10" i="110" s="1"/>
  <c r="E16" i="110"/>
  <c r="O11" i="110"/>
  <c r="P11" i="110" s="1"/>
  <c r="I16" i="110" l="1"/>
  <c r="P16" i="110"/>
  <c r="O16" i="110"/>
  <c r="F170" i="76" l="1"/>
  <c r="J170" i="76" s="1"/>
  <c r="F157" i="76"/>
  <c r="F163" i="76"/>
  <c r="F164" i="76" s="1"/>
  <c r="J164" i="76" s="1"/>
  <c r="H164" i="76"/>
  <c r="F149" i="76"/>
  <c r="F192" i="76" l="1"/>
  <c r="G8" i="108"/>
  <c r="H9" i="70" l="1"/>
  <c r="H10" i="70"/>
  <c r="N12" i="70"/>
  <c r="N15" i="70"/>
  <c r="N8" i="70"/>
  <c r="H13" i="70" l="1"/>
  <c r="H16" i="70" s="1"/>
  <c r="J157" i="76"/>
  <c r="N9" i="70"/>
  <c r="N10" i="70"/>
  <c r="W17" i="109"/>
  <c r="S17" i="109"/>
  <c r="Q17" i="109"/>
  <c r="O17" i="109"/>
  <c r="M17" i="109"/>
  <c r="I17" i="109"/>
  <c r="G17" i="109"/>
  <c r="F17" i="109"/>
  <c r="E17" i="109"/>
  <c r="K16" i="109"/>
  <c r="U16" i="109" s="1"/>
  <c r="K15" i="109"/>
  <c r="U15" i="109" s="1"/>
  <c r="K14" i="109"/>
  <c r="U14" i="109" s="1"/>
  <c r="K10" i="109"/>
  <c r="U10" i="109" s="1"/>
  <c r="K9" i="109"/>
  <c r="U9" i="109" s="1"/>
  <c r="G15" i="65"/>
  <c r="F400" i="76"/>
  <c r="F402" i="76" s="1"/>
  <c r="U17" i="109" l="1"/>
  <c r="K17" i="109"/>
  <c r="N11" i="70"/>
  <c r="N13" i="70" s="1"/>
  <c r="N16" i="70" s="1"/>
  <c r="H402" i="76"/>
  <c r="F9" i="108"/>
  <c r="E17" i="64"/>
  <c r="F344" i="76"/>
  <c r="G7" i="108"/>
  <c r="D21" i="107"/>
  <c r="H344" i="76" l="1"/>
  <c r="I17" i="64"/>
  <c r="J15" i="74" l="1"/>
  <c r="G46" i="69"/>
  <c r="H458" i="76" l="1"/>
  <c r="L15" i="74" l="1"/>
  <c r="L19" i="74" s="1"/>
  <c r="H394" i="76"/>
  <c r="E20" i="107"/>
  <c r="E19" i="107"/>
  <c r="E18" i="107"/>
  <c r="E17" i="107"/>
  <c r="E16" i="107"/>
  <c r="E15" i="107"/>
  <c r="E14" i="107"/>
  <c r="E13" i="107"/>
  <c r="F458" i="76"/>
  <c r="C21" i="107" l="1"/>
  <c r="E12" i="107"/>
  <c r="E21" i="107" s="1"/>
  <c r="A32" i="103" l="1"/>
  <c r="D5" i="107"/>
  <c r="A36" i="103" s="1"/>
  <c r="G38" i="69"/>
  <c r="E5" i="107" l="1"/>
  <c r="S6" i="9"/>
  <c r="C14" i="9"/>
  <c r="D14" i="9"/>
  <c r="G14" i="9"/>
  <c r="H14" i="9"/>
  <c r="K14" i="9"/>
  <c r="A38" i="100" s="1"/>
  <c r="L14" i="9"/>
  <c r="A46" i="100" s="1"/>
  <c r="M14" i="9"/>
  <c r="N14" i="9"/>
  <c r="O14" i="9"/>
  <c r="P14" i="9"/>
  <c r="S18" i="9"/>
  <c r="G19" i="74"/>
  <c r="D18" i="74"/>
  <c r="D15" i="74" s="1"/>
  <c r="E14" i="9" l="1"/>
  <c r="S17" i="9"/>
  <c r="D19" i="74"/>
  <c r="S19" i="9"/>
  <c r="A42" i="100"/>
  <c r="B37" i="98" l="1"/>
  <c r="S14" i="9"/>
  <c r="S20" i="9" s="1"/>
  <c r="A47" i="100"/>
  <c r="G39" i="69" l="1"/>
  <c r="G41" i="69"/>
  <c r="G20" i="69"/>
  <c r="G22" i="69"/>
  <c r="G23" i="69"/>
  <c r="G31" i="69"/>
  <c r="G28" i="69"/>
  <c r="G49" i="69"/>
  <c r="G51" i="69"/>
  <c r="G50" i="69"/>
  <c r="G37" i="69"/>
  <c r="G44" i="69"/>
  <c r="G43" i="69"/>
  <c r="G40" i="69"/>
  <c r="G35" i="69"/>
  <c r="G36" i="69"/>
  <c r="G34" i="69"/>
  <c r="G33" i="69"/>
  <c r="G32" i="69"/>
  <c r="G30" i="69"/>
  <c r="G29" i="69"/>
  <c r="G45" i="69" l="1"/>
  <c r="F394" i="76"/>
  <c r="F379" i="76"/>
  <c r="G53" i="69" l="1"/>
  <c r="H266" i="76" l="1"/>
  <c r="F266" i="76"/>
  <c r="F150" i="76" l="1"/>
  <c r="J150" i="76" s="1"/>
  <c r="H11" i="76" l="1"/>
  <c r="F11" i="76"/>
  <c r="H49" i="76"/>
  <c r="H10" i="76" s="1"/>
  <c r="F49" i="76"/>
  <c r="F10" i="76" s="1"/>
  <c r="S25" i="73" l="1"/>
  <c r="H11" i="94" l="1"/>
  <c r="G11" i="94"/>
  <c r="F11" i="94"/>
  <c r="E11" i="94"/>
  <c r="D11" i="94"/>
  <c r="C11" i="94"/>
  <c r="B30" i="95" s="1"/>
  <c r="J10" i="94"/>
  <c r="L10" i="94" s="1"/>
  <c r="I10" i="94"/>
  <c r="K10" i="94" s="1"/>
  <c r="J9" i="94"/>
  <c r="L9" i="94" s="1"/>
  <c r="I9" i="94"/>
  <c r="K9" i="94" s="1"/>
  <c r="J8" i="94"/>
  <c r="L8" i="94" s="1"/>
  <c r="I8" i="94"/>
  <c r="K8" i="94" s="1"/>
  <c r="J7" i="94"/>
  <c r="L7" i="94" s="1"/>
  <c r="I7" i="94"/>
  <c r="K7" i="94" s="1"/>
  <c r="J6" i="94"/>
  <c r="L6" i="94" s="1"/>
  <c r="I6" i="94"/>
  <c r="K6" i="94" s="1"/>
  <c r="J5" i="94"/>
  <c r="L5" i="94" s="1"/>
  <c r="I5" i="94"/>
  <c r="K5" i="94" s="1"/>
  <c r="C15" i="94" l="1"/>
  <c r="J11" i="94"/>
  <c r="L11" i="94"/>
  <c r="L15" i="94" s="1"/>
  <c r="I11" i="94"/>
  <c r="D15" i="94"/>
  <c r="K11" i="94"/>
  <c r="B31" i="95" l="1"/>
  <c r="B32" i="95"/>
  <c r="M6" i="9" l="1"/>
  <c r="N6" i="9"/>
  <c r="L6" i="9"/>
  <c r="N20" i="9" l="1"/>
  <c r="H258" i="76" l="1"/>
  <c r="E14" i="74" l="1"/>
  <c r="E13" i="74"/>
  <c r="E12" i="74"/>
  <c r="E11" i="74"/>
  <c r="E10" i="74"/>
  <c r="E9" i="74"/>
  <c r="E8" i="74"/>
  <c r="E7" i="74"/>
  <c r="S27" i="73"/>
  <c r="R24" i="73"/>
  <c r="Q24" i="73"/>
  <c r="O24" i="73"/>
  <c r="L24" i="73"/>
  <c r="K24" i="73"/>
  <c r="J24" i="73"/>
  <c r="I24" i="73"/>
  <c r="G24" i="73"/>
  <c r="F24" i="73"/>
  <c r="E24" i="73"/>
  <c r="D24" i="73"/>
  <c r="P17" i="73"/>
  <c r="N17" i="73"/>
  <c r="M17" i="73"/>
  <c r="S18" i="73"/>
  <c r="R17" i="73"/>
  <c r="Q17" i="73"/>
  <c r="O17" i="73"/>
  <c r="L17" i="73"/>
  <c r="K17" i="73"/>
  <c r="J17" i="73"/>
  <c r="I17" i="73"/>
  <c r="G17" i="73"/>
  <c r="F17" i="73"/>
  <c r="E17" i="73"/>
  <c r="D17" i="73"/>
  <c r="C17" i="73"/>
  <c r="M10" i="73"/>
  <c r="R9" i="73"/>
  <c r="Q9" i="73"/>
  <c r="P9" i="73"/>
  <c r="O9" i="73"/>
  <c r="N9" i="73"/>
  <c r="L9" i="73"/>
  <c r="K9" i="73"/>
  <c r="J9" i="73"/>
  <c r="I9" i="73"/>
  <c r="F9" i="73"/>
  <c r="E9" i="73"/>
  <c r="D9" i="73"/>
  <c r="R7" i="73"/>
  <c r="Q7" i="73"/>
  <c r="P7" i="73"/>
  <c r="O7" i="73"/>
  <c r="N7" i="73"/>
  <c r="L7" i="73"/>
  <c r="K7" i="73"/>
  <c r="J7" i="73"/>
  <c r="I7" i="73"/>
  <c r="G7" i="73"/>
  <c r="F7" i="73"/>
  <c r="E7" i="73"/>
  <c r="D7" i="73"/>
  <c r="C7" i="73"/>
  <c r="Q14" i="9"/>
  <c r="F14" i="9"/>
  <c r="L11" i="66" s="1"/>
  <c r="M20" i="9"/>
  <c r="G13" i="9"/>
  <c r="E13" i="9"/>
  <c r="G12" i="9"/>
  <c r="J12" i="9" s="1"/>
  <c r="E12" i="9"/>
  <c r="L20" i="9"/>
  <c r="G47" i="69" s="1"/>
  <c r="G58" i="69" s="1"/>
  <c r="A39" i="100"/>
  <c r="G9" i="9"/>
  <c r="J9" i="9" s="1"/>
  <c r="R9" i="9" s="1"/>
  <c r="E9" i="9"/>
  <c r="G8" i="9"/>
  <c r="J8" i="9" s="1"/>
  <c r="R8" i="9" s="1"/>
  <c r="Q7" i="9"/>
  <c r="G7" i="9"/>
  <c r="J7" i="9" s="1"/>
  <c r="E7" i="9"/>
  <c r="P6" i="9"/>
  <c r="O6" i="9"/>
  <c r="K6" i="9"/>
  <c r="H6" i="9"/>
  <c r="H20" i="9" s="1"/>
  <c r="F6" i="9"/>
  <c r="D6" i="9"/>
  <c r="C6" i="9"/>
  <c r="E6" i="74" l="1"/>
  <c r="F307" i="76" s="1"/>
  <c r="D28" i="73"/>
  <c r="C28" i="73"/>
  <c r="F28" i="73"/>
  <c r="D10" i="66"/>
  <c r="I28" i="73"/>
  <c r="A40" i="101" s="1"/>
  <c r="O28" i="73"/>
  <c r="E28" i="73"/>
  <c r="J28" i="73"/>
  <c r="Q28" i="73"/>
  <c r="K28" i="73"/>
  <c r="R28" i="73"/>
  <c r="G28" i="73"/>
  <c r="L28" i="73"/>
  <c r="J13" i="9"/>
  <c r="R13" i="9" s="1"/>
  <c r="M7" i="73"/>
  <c r="S7" i="73"/>
  <c r="K14" i="74"/>
  <c r="Q10" i="9"/>
  <c r="H16" i="66" s="1"/>
  <c r="G10" i="9"/>
  <c r="E10" i="9"/>
  <c r="E6" i="9"/>
  <c r="L9" i="66" s="1"/>
  <c r="K10" i="74"/>
  <c r="S10" i="73"/>
  <c r="O20" i="9"/>
  <c r="A43" i="100"/>
  <c r="A41" i="100"/>
  <c r="B45" i="99"/>
  <c r="C20" i="9"/>
  <c r="R14" i="9"/>
  <c r="A50" i="100" s="1"/>
  <c r="J14" i="9"/>
  <c r="D20" i="9"/>
  <c r="K13" i="74"/>
  <c r="K11" i="74"/>
  <c r="K9" i="74"/>
  <c r="K12" i="74"/>
  <c r="P20" i="9"/>
  <c r="F20" i="9"/>
  <c r="Q6" i="9"/>
  <c r="R7" i="9"/>
  <c r="K20" i="9"/>
  <c r="S17" i="73"/>
  <c r="P24" i="73"/>
  <c r="P28" i="73" s="1"/>
  <c r="H7" i="73"/>
  <c r="M24" i="73"/>
  <c r="H17" i="73"/>
  <c r="N24" i="73"/>
  <c r="N28" i="73" s="1"/>
  <c r="H9" i="73"/>
  <c r="H24" i="73"/>
  <c r="M9" i="73"/>
  <c r="J6" i="9"/>
  <c r="G6" i="9"/>
  <c r="D11" i="66" l="1"/>
  <c r="F11" i="66"/>
  <c r="E11" i="69" s="1"/>
  <c r="F10" i="66"/>
  <c r="E12" i="69" s="1"/>
  <c r="J10" i="9"/>
  <c r="H28" i="73"/>
  <c r="A35" i="101" s="1"/>
  <c r="H11" i="66"/>
  <c r="M28" i="73"/>
  <c r="H17" i="66"/>
  <c r="R12" i="9"/>
  <c r="R10" i="9" s="1"/>
  <c r="S9" i="73"/>
  <c r="E20" i="9"/>
  <c r="E22" i="9" s="1"/>
  <c r="B38" i="98"/>
  <c r="L10" i="66"/>
  <c r="B48" i="99"/>
  <c r="B44" i="99"/>
  <c r="A45" i="101"/>
  <c r="Q20" i="9"/>
  <c r="R6" i="9"/>
  <c r="S24" i="73"/>
  <c r="G20" i="9"/>
  <c r="J20" i="9" l="1"/>
  <c r="H10" i="66"/>
  <c r="G11" i="69"/>
  <c r="J11" i="66"/>
  <c r="S28" i="73"/>
  <c r="A51" i="101"/>
  <c r="K15" i="94"/>
  <c r="A51" i="100"/>
  <c r="R20" i="9"/>
  <c r="I47" i="69" l="1"/>
  <c r="I48" i="69"/>
  <c r="E10" i="64" l="1"/>
  <c r="J18" i="80" l="1"/>
  <c r="I18" i="80"/>
  <c r="H18" i="80"/>
  <c r="F18" i="80"/>
  <c r="E18" i="80"/>
  <c r="D18" i="80"/>
  <c r="A38" i="102"/>
  <c r="A34" i="102"/>
  <c r="K8" i="74"/>
  <c r="I19" i="74"/>
  <c r="H19" i="74"/>
  <c r="B40" i="99"/>
  <c r="B49" i="99"/>
  <c r="A35" i="100" s="1"/>
  <c r="A37" i="100"/>
  <c r="B36" i="98"/>
  <c r="B39" i="99" s="1"/>
  <c r="F9" i="66" l="1"/>
  <c r="E10" i="69" s="1"/>
  <c r="D9" i="66"/>
  <c r="C19" i="74"/>
  <c r="A37" i="102"/>
  <c r="F19" i="74"/>
  <c r="K18" i="80"/>
  <c r="B43" i="99"/>
  <c r="B47" i="99" s="1"/>
  <c r="A33" i="100" s="1"/>
  <c r="F16" i="66"/>
  <c r="L18" i="80"/>
  <c r="G18" i="80"/>
  <c r="E19" i="74"/>
  <c r="J6" i="74"/>
  <c r="A34" i="100"/>
  <c r="H15" i="66" l="1"/>
  <c r="J19" i="74"/>
  <c r="K23" i="9" s="1"/>
  <c r="H9" i="66"/>
  <c r="A49" i="100"/>
  <c r="J16" i="66"/>
  <c r="B41" i="99"/>
  <c r="K7" i="74"/>
  <c r="K6" i="74" s="1"/>
  <c r="H18" i="66" l="1"/>
  <c r="K19" i="74"/>
  <c r="R24" i="9" s="1"/>
  <c r="A46" i="102"/>
  <c r="F15" i="66"/>
  <c r="J15" i="66" s="1"/>
  <c r="J9" i="66"/>
  <c r="A45" i="102"/>
  <c r="H224" i="76" l="1"/>
  <c r="F224" i="76" l="1"/>
  <c r="F278" i="76" l="1"/>
  <c r="F283" i="76" s="1"/>
  <c r="H94" i="76"/>
  <c r="H139" i="76" l="1"/>
  <c r="F258" i="76" l="1"/>
  <c r="F244" i="76" l="1"/>
  <c r="J10" i="76" s="1"/>
  <c r="H416" i="76" l="1"/>
  <c r="I20" i="64" s="1"/>
  <c r="F328" i="76"/>
  <c r="F416" i="76" l="1"/>
  <c r="N15" i="65"/>
  <c r="N14" i="65"/>
  <c r="N10" i="65"/>
  <c r="H200" i="76"/>
  <c r="F198" i="76" s="1"/>
  <c r="E20" i="64" l="1"/>
  <c r="J283" i="76" l="1"/>
  <c r="H292" i="76" l="1"/>
  <c r="O15" i="65" l="1"/>
  <c r="F289" i="76"/>
  <c r="F292" i="76" s="1"/>
  <c r="M15" i="65" l="1"/>
  <c r="J292" i="76"/>
  <c r="I45" i="69" l="1"/>
  <c r="I40" i="69"/>
  <c r="I57" i="69"/>
  <c r="I24" i="69"/>
  <c r="I25" i="69"/>
  <c r="I28" i="69"/>
  <c r="I29" i="69"/>
  <c r="I31" i="69"/>
  <c r="I32" i="69"/>
  <c r="I33" i="69"/>
  <c r="I34" i="69"/>
  <c r="I35" i="69"/>
  <c r="I36" i="69"/>
  <c r="I37" i="69"/>
  <c r="I38" i="69"/>
  <c r="I43" i="69"/>
  <c r="I44" i="69"/>
  <c r="I46" i="69"/>
  <c r="I50" i="69"/>
  <c r="I51" i="69"/>
  <c r="I53" i="69"/>
  <c r="I55" i="69"/>
  <c r="I20" i="69"/>
  <c r="I41" i="69"/>
  <c r="I39" i="69" l="1"/>
  <c r="H272" i="76" l="1"/>
  <c r="O10" i="65" s="1"/>
  <c r="F272" i="76"/>
  <c r="M10" i="65" s="1"/>
  <c r="F200" i="76"/>
  <c r="N9" i="65"/>
  <c r="O9" i="65"/>
  <c r="M9" i="65"/>
  <c r="F10" i="65"/>
  <c r="E10" i="65"/>
  <c r="G10" i="65"/>
  <c r="A47" i="102"/>
  <c r="I30" i="69" l="1"/>
  <c r="I23" i="69"/>
  <c r="I22" i="69"/>
  <c r="I49" i="69" l="1"/>
  <c r="F17" i="66" l="1"/>
  <c r="F18" i="65" l="1"/>
  <c r="H18" i="65"/>
  <c r="G18" i="65"/>
  <c r="E18" i="65" l="1"/>
  <c r="H314" i="76" l="1"/>
  <c r="H300" i="76" s="1"/>
  <c r="H308" i="76"/>
  <c r="H299" i="76" s="1"/>
  <c r="H301" i="76" l="1"/>
  <c r="I8" i="64" s="1"/>
  <c r="H42" i="76" l="1"/>
  <c r="H9" i="76" s="1"/>
  <c r="F42" i="76"/>
  <c r="F9" i="76" s="1"/>
  <c r="E9" i="64" l="1"/>
  <c r="N8" i="65" l="1"/>
  <c r="F17" i="65"/>
  <c r="F16" i="65"/>
  <c r="F11" i="65"/>
  <c r="H12" i="65"/>
  <c r="F9" i="65"/>
  <c r="F8" i="65"/>
  <c r="G22" i="64" l="1"/>
  <c r="F12" i="65"/>
  <c r="M14" i="65"/>
  <c r="D73" i="79" l="1"/>
  <c r="I34" i="79"/>
  <c r="F385" i="76"/>
  <c r="F342" i="76" s="1"/>
  <c r="E15" i="64" s="1"/>
  <c r="F343" i="76"/>
  <c r="E16" i="64" s="1"/>
  <c r="D87" i="79" l="1"/>
  <c r="D85" i="79"/>
  <c r="D86" i="79" s="1"/>
  <c r="I35" i="79" s="1"/>
  <c r="I36" i="79" s="1"/>
  <c r="F356" i="76"/>
  <c r="F341" i="76"/>
  <c r="E14" i="64" s="1"/>
  <c r="F340" i="76" l="1"/>
  <c r="F345" i="76" s="1"/>
  <c r="J345" i="76" s="1"/>
  <c r="H385" i="76"/>
  <c r="H342" i="76" s="1"/>
  <c r="I15" i="64" s="1"/>
  <c r="F314" i="76" l="1"/>
  <c r="F308" i="76"/>
  <c r="F299" i="76" s="1"/>
  <c r="H379" i="76"/>
  <c r="H341" i="76" s="1"/>
  <c r="I14" i="64" s="1"/>
  <c r="E13" i="64"/>
  <c r="G18" i="64" s="1"/>
  <c r="H356" i="76"/>
  <c r="H340" i="76" s="1"/>
  <c r="I13" i="64" l="1"/>
  <c r="H343" i="76"/>
  <c r="I16" i="64" s="1"/>
  <c r="I18" i="64" l="1"/>
  <c r="H345" i="76"/>
  <c r="H328" i="76" l="1"/>
  <c r="I9" i="64" s="1"/>
  <c r="I22" i="64" l="1"/>
  <c r="I10" i="64"/>
  <c r="I11" i="64" s="1"/>
  <c r="I28" i="64"/>
  <c r="I23" i="64" l="1"/>
  <c r="I30" i="64" s="1"/>
  <c r="I31" i="64" s="1"/>
  <c r="O14" i="65"/>
  <c r="O16" i="65" s="1"/>
  <c r="M16" i="65"/>
  <c r="H244" i="76" l="1"/>
  <c r="H225" i="76" s="1"/>
  <c r="F225" i="76"/>
  <c r="J225" i="76" s="1"/>
  <c r="G17" i="65"/>
  <c r="G20" i="65" s="1"/>
  <c r="E17" i="65"/>
  <c r="F226" i="76" l="1"/>
  <c r="H226" i="76"/>
  <c r="O8" i="65" s="1"/>
  <c r="O12" i="65" s="1"/>
  <c r="M8" i="65" l="1"/>
  <c r="M12" i="65" s="1"/>
  <c r="M17" i="65" s="1"/>
  <c r="O17" i="65"/>
  <c r="I9" i="76"/>
  <c r="I29" i="76"/>
  <c r="I7" i="76" s="1"/>
  <c r="I8" i="76"/>
  <c r="F29" i="76" l="1"/>
  <c r="H70" i="76"/>
  <c r="H72" i="76" s="1"/>
  <c r="D5" i="108" s="1"/>
  <c r="F70" i="76"/>
  <c r="F72" i="76" s="1"/>
  <c r="D9" i="108" l="1"/>
  <c r="G5" i="108"/>
  <c r="G9" i="108" s="1"/>
  <c r="E9" i="65"/>
  <c r="G9" i="65"/>
  <c r="H118" i="76"/>
  <c r="H102" i="76" s="1"/>
  <c r="H111" i="76"/>
  <c r="H101" i="76" s="1"/>
  <c r="H35" i="76"/>
  <c r="H8" i="76" s="1"/>
  <c r="F35" i="76"/>
  <c r="F8" i="76" s="1"/>
  <c r="H29" i="76"/>
  <c r="H7" i="76" s="1"/>
  <c r="F7" i="76"/>
  <c r="L15" i="66" l="1"/>
  <c r="J7" i="76"/>
  <c r="R25" i="9"/>
  <c r="R26" i="9" s="1"/>
  <c r="H12" i="76"/>
  <c r="G8" i="65" s="1"/>
  <c r="F12" i="76"/>
  <c r="J12" i="76" s="1"/>
  <c r="H103" i="76"/>
  <c r="G11" i="65" s="1"/>
  <c r="F111" i="76"/>
  <c r="F101" i="76" s="1"/>
  <c r="F118" i="76"/>
  <c r="F102" i="76" s="1"/>
  <c r="E8" i="65" l="1"/>
  <c r="G12" i="65"/>
  <c r="G21" i="65" s="1"/>
  <c r="F103" i="76"/>
  <c r="E11" i="65" l="1"/>
  <c r="E12" i="65" l="1"/>
  <c r="J103" i="76"/>
  <c r="A33" i="102"/>
  <c r="G13" i="69" l="1"/>
  <c r="I13" i="69" s="1"/>
  <c r="D17" i="66"/>
  <c r="D12" i="66" l="1"/>
  <c r="D15" i="66"/>
  <c r="D16" i="66"/>
  <c r="I11" i="69" l="1"/>
  <c r="K12" i="69"/>
  <c r="D18" i="66"/>
  <c r="K10" i="69"/>
  <c r="F12" i="66"/>
  <c r="G10" i="69"/>
  <c r="J10" i="66" l="1"/>
  <c r="L16" i="66" s="1"/>
  <c r="G12" i="69"/>
  <c r="I12" i="69" s="1"/>
  <c r="I10" i="69"/>
  <c r="F18" i="66"/>
  <c r="H12" i="66"/>
  <c r="K58" i="69" l="1"/>
  <c r="G14" i="69"/>
  <c r="G59" i="69" s="1"/>
  <c r="J12" i="66" l="1"/>
  <c r="L12" i="66" s="1"/>
  <c r="L14" i="69"/>
  <c r="D19" i="66" l="1"/>
  <c r="F19" i="66"/>
  <c r="F300" i="76" l="1"/>
  <c r="F301" i="76" l="1"/>
  <c r="E8" i="64" l="1"/>
  <c r="G11" i="64" s="1"/>
  <c r="G23" i="64" s="1"/>
  <c r="G30" i="64" s="1"/>
  <c r="G31" i="64" s="1"/>
  <c r="J17" i="66"/>
  <c r="J18" i="66" s="1"/>
  <c r="H19" i="66"/>
  <c r="E14" i="69"/>
  <c r="E59" i="69" s="1"/>
  <c r="K14" i="69" l="1"/>
  <c r="J19" i="66"/>
  <c r="L17" i="66"/>
  <c r="I14" i="69"/>
  <c r="O19" i="65"/>
  <c r="M19" i="65" l="1"/>
  <c r="M20" i="65" s="1"/>
  <c r="M21" i="65" s="1"/>
  <c r="L19" i="66"/>
  <c r="O20" i="65"/>
  <c r="O21" i="65" s="1"/>
  <c r="I28" i="65" s="1"/>
  <c r="F139" i="76" l="1"/>
  <c r="J139" i="76" s="1"/>
  <c r="E15" i="65"/>
  <c r="G63" i="69" l="1"/>
  <c r="I26" i="69"/>
  <c r="I58" i="69" l="1"/>
  <c r="I59" i="69" s="1"/>
  <c r="K59" i="69" s="1"/>
  <c r="K24" i="9"/>
  <c r="K25" i="9" s="1"/>
  <c r="E20" i="65"/>
  <c r="E21" i="65" s="1"/>
  <c r="I27" i="65" s="1"/>
  <c r="G60" i="69"/>
</calcChain>
</file>

<file path=xl/sharedStrings.xml><?xml version="1.0" encoding="utf-8"?>
<sst xmlns="http://schemas.openxmlformats.org/spreadsheetml/2006/main" count="1835" uniqueCount="979">
  <si>
    <t xml:space="preserve">شماره </t>
  </si>
  <si>
    <t xml:space="preserve">برنامه - طرح </t>
  </si>
  <si>
    <t xml:space="preserve">عنوان </t>
  </si>
  <si>
    <t xml:space="preserve">تخصیص یافته </t>
  </si>
  <si>
    <t xml:space="preserve">دریافتی ازخزانه </t>
  </si>
  <si>
    <t xml:space="preserve">هزینه </t>
  </si>
  <si>
    <t xml:space="preserve">پیش پرداخت </t>
  </si>
  <si>
    <t xml:space="preserve">علی الحساب </t>
  </si>
  <si>
    <t xml:space="preserve">جمع کل </t>
  </si>
  <si>
    <t xml:space="preserve">مصرفی </t>
  </si>
  <si>
    <t xml:space="preserve">اعتبارات </t>
  </si>
  <si>
    <t xml:space="preserve">جمع عملکرد اعتبارات مصوب تملک داراییهای سرمایه ای </t>
  </si>
  <si>
    <t>يادداشت</t>
  </si>
  <si>
    <t>ريال</t>
  </si>
  <si>
    <t>-4</t>
  </si>
  <si>
    <t>مانده حساب موجودي نزد بانکها  به شرح  زير قابل تفکیک مي‌باشد:</t>
  </si>
  <si>
    <t>4-1</t>
  </si>
  <si>
    <t>-4-1</t>
  </si>
  <si>
    <t>موجودی نزد بانکهای حساب مستقل تملک دارائیهای سرمایه ای به شرح زیر  قابل تفکیک می باشد :</t>
  </si>
  <si>
    <t>تعهدات و بدهیهای احتمالی</t>
  </si>
  <si>
    <t>جمع</t>
  </si>
  <si>
    <t>دریافتی از خزانه</t>
  </si>
  <si>
    <t>با احترام</t>
  </si>
  <si>
    <t>شـــــــرح</t>
  </si>
  <si>
    <t>شماره صفحه</t>
  </si>
  <si>
    <t>مسئولين امضاء كننده صورتهاي مالي</t>
  </si>
  <si>
    <t xml:space="preserve">سمت </t>
  </si>
  <si>
    <t>امضاء</t>
  </si>
  <si>
    <t xml:space="preserve">                  </t>
  </si>
  <si>
    <t>اعتبارات جاری</t>
  </si>
  <si>
    <t>اعتبارات سرمایه ای</t>
  </si>
  <si>
    <t>اعتبارات اختصاصی</t>
  </si>
  <si>
    <t>هزینه</t>
  </si>
  <si>
    <t>مانده وجوه مصرف نشده پایان سال</t>
  </si>
  <si>
    <t>پیش پرداخت و علی الحساب</t>
  </si>
  <si>
    <t>موجودی نزد بانکهای حساب مستقل سپرده</t>
  </si>
  <si>
    <t>4-2</t>
  </si>
  <si>
    <t>-4-2</t>
  </si>
  <si>
    <t>ساير</t>
  </si>
  <si>
    <t xml:space="preserve">جمع عملکرد اعتبارات ابلاغی  هزینه ای </t>
  </si>
  <si>
    <t>4-3</t>
  </si>
  <si>
    <t>-4-3</t>
  </si>
  <si>
    <t>ریال</t>
  </si>
  <si>
    <t>سایر</t>
  </si>
  <si>
    <t>اصلاحیه</t>
  </si>
  <si>
    <t>جمع کل</t>
  </si>
  <si>
    <t>مصوب</t>
  </si>
  <si>
    <t>تخصیص</t>
  </si>
  <si>
    <t>مانده وجوه مصرف نشده سنوات قبل</t>
  </si>
  <si>
    <t>ردیف</t>
  </si>
  <si>
    <t>درآمد اختصاصی</t>
  </si>
  <si>
    <t>درآمد اختصاصی پیش بینی</t>
  </si>
  <si>
    <t>درآمد اختصاصی وصولی</t>
  </si>
  <si>
    <t xml:space="preserve">اعتبارات ابلاغی  هزینه ای </t>
  </si>
  <si>
    <t>اعتبارات سرمایه ای:</t>
  </si>
  <si>
    <t>اعتبارات اختصاصی:</t>
  </si>
  <si>
    <t>مانده مصرف نشده پایان سال</t>
  </si>
  <si>
    <t>موجودی نقد</t>
  </si>
  <si>
    <t>ذخیره مزایای پایان خدمت کارکنان</t>
  </si>
  <si>
    <t>جمع ارزش خالص</t>
  </si>
  <si>
    <t>صورت تغییرات در وضعیت مالی</t>
  </si>
  <si>
    <t>سایر درآمدها</t>
  </si>
  <si>
    <t xml:space="preserve">جبران خدمت کارکنان </t>
  </si>
  <si>
    <t>استفاده از کالا و خدمات</t>
  </si>
  <si>
    <t>منافع (مزایای) اجتماعی</t>
  </si>
  <si>
    <t>سایر هزینه ها</t>
  </si>
  <si>
    <t>خالص تغییر در وضعیت مالی</t>
  </si>
  <si>
    <t>گردش حساب تغییرات در ارزش خالص</t>
  </si>
  <si>
    <t xml:space="preserve"> بودجه</t>
  </si>
  <si>
    <t>تفاوت بودجه</t>
  </si>
  <si>
    <t>یادداشت</t>
  </si>
  <si>
    <t xml:space="preserve">اولیه </t>
  </si>
  <si>
    <t>نهایی</t>
  </si>
  <si>
    <t>قابل مقایسه</t>
  </si>
  <si>
    <t>نهایی و عملکرد</t>
  </si>
  <si>
    <t>منابع</t>
  </si>
  <si>
    <t>دریافتی از محل اعتبارات هزینه عمومی</t>
  </si>
  <si>
    <t>دریافتی از محل اعتبارات هزینه اختصاصی</t>
  </si>
  <si>
    <t>دریافتی از محل اعتبارات تملک دارایی های سرمایه ای</t>
  </si>
  <si>
    <t xml:space="preserve">جمع منابع </t>
  </si>
  <si>
    <t>مصارف</t>
  </si>
  <si>
    <t>هزینه های عمومی</t>
  </si>
  <si>
    <t xml:space="preserve">هزینه های اختصاصی </t>
  </si>
  <si>
    <t>تملک دارایی های سرمایه ای</t>
  </si>
  <si>
    <t xml:space="preserve">جمع مصارف </t>
  </si>
  <si>
    <t>مازاد وجوه مصرف نشده</t>
  </si>
  <si>
    <t>صورت وضعیت مالی</t>
  </si>
  <si>
    <t>صورت مقایسه بودجه و عملکرد</t>
  </si>
  <si>
    <t>درآمدهای اختصاصی</t>
  </si>
  <si>
    <t xml:space="preserve">اعتبارات تملک دارایی های سرمایه ای </t>
  </si>
  <si>
    <t xml:space="preserve">مصارف </t>
  </si>
  <si>
    <t>جمع مصارف</t>
  </si>
  <si>
    <t>بودجه نهایی</t>
  </si>
  <si>
    <t xml:space="preserve">داراييهاي ثابت مشهود </t>
  </si>
  <si>
    <t>جدول بهاي تمام شده و استهلاك انباشته داراييهاي ثابت مشهود به شرح زير است :</t>
  </si>
  <si>
    <t xml:space="preserve">بهاي تمام شده - ريال </t>
  </si>
  <si>
    <t>استهلاك انباشته - ريال</t>
  </si>
  <si>
    <t xml:space="preserve">شرح اقلام </t>
  </si>
  <si>
    <t xml:space="preserve">دارييهاي اضافه شده طي سال مالي </t>
  </si>
  <si>
    <t>استهلاك سال مالي</t>
  </si>
  <si>
    <t xml:space="preserve"> استهلاک دارييهاي فروخته شده طي سال مالي </t>
  </si>
  <si>
    <t>جــمــع</t>
  </si>
  <si>
    <t xml:space="preserve">مانده در ابتدای سال </t>
  </si>
  <si>
    <t>ارزش دفتري - ريال</t>
  </si>
  <si>
    <t>دارایی در جریان تکمیل</t>
  </si>
  <si>
    <t>هزینه ها به شرح زیر قابل تفکیک می باشد :</t>
  </si>
  <si>
    <t>عملکرد بر مبنای قابل مقایسه</t>
  </si>
  <si>
    <t>تفاوت بودجه نهایی و عملکرد</t>
  </si>
  <si>
    <t xml:space="preserve">مدیر امور مالی </t>
  </si>
  <si>
    <t xml:space="preserve">یادداشت های توضیحی همراه صورتهای مالی </t>
  </si>
  <si>
    <t>سپرده های پرداختنی</t>
  </si>
  <si>
    <t>علی الحساب</t>
  </si>
  <si>
    <t>واریز نقدی</t>
  </si>
  <si>
    <t>اعتبارات ابلاغی سرمایه ای</t>
  </si>
  <si>
    <t>الف - هزینه های پرسنلی:</t>
  </si>
  <si>
    <t>ب - سایر هزینه ها</t>
  </si>
  <si>
    <t xml:space="preserve"> </t>
  </si>
  <si>
    <t xml:space="preserve">       عنوان دستگاه : پارك علم و فناوري خراسان</t>
  </si>
  <si>
    <t>جمع کل مصرفی</t>
  </si>
  <si>
    <t xml:space="preserve">اعتبارمصوب </t>
  </si>
  <si>
    <t>پيش پرداخت</t>
  </si>
  <si>
    <t xml:space="preserve">جمع عملکرد اعتبارات مصوب هزینه ای </t>
  </si>
  <si>
    <t>مدیریت و راهبری علم و فناوری</t>
  </si>
  <si>
    <t>حمایت از مالکیت فکری</t>
  </si>
  <si>
    <t xml:space="preserve">جمع عملکرد اعتبارات مصوب اختصاصی </t>
  </si>
  <si>
    <t>تعمیر و تجهیز</t>
  </si>
  <si>
    <t>جمع كل مصوب</t>
  </si>
  <si>
    <t xml:space="preserve">رئیس پارك </t>
  </si>
  <si>
    <t>اکبر امینی</t>
  </si>
  <si>
    <t>عنوان دستگاه : پارك علم و فناوري خراسان</t>
  </si>
  <si>
    <t>بدهی به حساب های مستقل</t>
  </si>
  <si>
    <t>طلب از حساب های مستقل</t>
  </si>
  <si>
    <t>تعدیل</t>
  </si>
  <si>
    <t>تنخواه</t>
  </si>
  <si>
    <t>سرمایه گذاری</t>
  </si>
  <si>
    <t xml:space="preserve">علی الحساب   </t>
  </si>
  <si>
    <t>طی سال</t>
  </si>
  <si>
    <t>مانده پایان دوره</t>
  </si>
  <si>
    <t xml:space="preserve">جمع عملکرد مانده مصرف نشده اعتبارات هزینه ای </t>
  </si>
  <si>
    <t>توسعه علوم مهندسی</t>
  </si>
  <si>
    <t xml:space="preserve">جمع عملکرد مانده مصرف نشده اعتبارات ابلاغی هزینه ای </t>
  </si>
  <si>
    <t>جمع عملکرد مانده مصرف نشده اعتبارات اختصاصی</t>
  </si>
  <si>
    <t>جمع كل</t>
  </si>
  <si>
    <t xml:space="preserve">مانده مصرف نشده درپایان سال </t>
  </si>
  <si>
    <t>علي الحساب</t>
  </si>
  <si>
    <t xml:space="preserve">مدير امورمالی </t>
  </si>
  <si>
    <t xml:space="preserve">رشد فرهنگی </t>
  </si>
  <si>
    <t xml:space="preserve">گناباد </t>
  </si>
  <si>
    <t>تجهیز آزمایشگاه و کارگاه</t>
  </si>
  <si>
    <t>شرح درآمد</t>
  </si>
  <si>
    <t>وصولی</t>
  </si>
  <si>
    <t>درصد وصولي نسبت به پيش بيني</t>
  </si>
  <si>
    <t>شرح  درآمد</t>
  </si>
  <si>
    <t>تفاوت کسر یا اضافه درآمد وصولی</t>
  </si>
  <si>
    <t>درامد حاصل از بازپرداخت تسهیلات</t>
  </si>
  <si>
    <t>مشارکت طرحهای تحقیقاتی وبالاسری قراردادی</t>
  </si>
  <si>
    <t>خدمات گروه مواد پایلوت سرامیک</t>
  </si>
  <si>
    <t>خدمات آموزشی و کارشناسی</t>
  </si>
  <si>
    <t>درآمد حاصل از اجاره استقرار</t>
  </si>
  <si>
    <t>ارائه خدمات پشتیبانی</t>
  </si>
  <si>
    <t>وزارت علوم</t>
  </si>
  <si>
    <t xml:space="preserve">پارس جنوبی </t>
  </si>
  <si>
    <t>درصد كسر يا اضافه نسبت به وصولي94</t>
  </si>
  <si>
    <t>موجودی نزد بانکهای حساب مستقل اعتبارات هزینه ای</t>
  </si>
  <si>
    <t>موجودی نزد بانکهای حساب مستقل اعتبارات اختصاصي</t>
  </si>
  <si>
    <t>موجودی نزد بانک حساب مستقل اعتبارات هزینه ای به شرح زیر قابل تفکیک می باشد:</t>
  </si>
  <si>
    <t>بانک تجارت حساب 425080008</t>
  </si>
  <si>
    <t>بانک تجارت حساب 425080806</t>
  </si>
  <si>
    <t>بانک سپه حساب 5152051601006</t>
  </si>
  <si>
    <t>بانک تجارت حساب 425066668</t>
  </si>
  <si>
    <t>بانک قرض الحسنه مهر ایران</t>
  </si>
  <si>
    <t>بانک تجارت حساب 425060880</t>
  </si>
  <si>
    <t>موجودی نزد بانکهای حساب مستقل درآمدهای اختصاصی به شرح زیر  قابل تفکیک می باشد :</t>
  </si>
  <si>
    <t>بانک تجارت  حساب 425080814</t>
  </si>
  <si>
    <t>بانک تجارت حساب 425080792</t>
  </si>
  <si>
    <t>-4-5</t>
  </si>
  <si>
    <t>موجودی نزد بانکهای حساب سپرده به شرح زیر قابل تفکیک می باشد :</t>
  </si>
  <si>
    <t>4-5</t>
  </si>
  <si>
    <t>مانده حساب پیش پرداخت به شرح زیر قابل تفکیک می باشد:</t>
  </si>
  <si>
    <t>پیش پرداخت حساب مستقل اعتبارات هزینه ای</t>
  </si>
  <si>
    <t xml:space="preserve">پیش پرداخت حساب مستقل اختصاصی  </t>
  </si>
  <si>
    <t>-5-1</t>
  </si>
  <si>
    <t>مانده حساب پیش پرداخت حساب مستقل اعتبارات هزینه ای زیر قابل تفکیک می باشد:</t>
  </si>
  <si>
    <t>پيش پرداخت از محل اعتبارات هزینه ای جاري</t>
  </si>
  <si>
    <t>پيش پرداخت از محل اعتبارات هزینه ای سنواتي</t>
  </si>
  <si>
    <t>پيش پرداخت از محل وجوه سایر منابع هزینه ای</t>
  </si>
  <si>
    <t>مانده حساب پیش پرداخت حساب مستقل اعتبارات اختصاصی به شرح زیر می باشد:</t>
  </si>
  <si>
    <t>پيش پرداخت از محل اعتبارات اختصاصی جاري</t>
  </si>
  <si>
    <t>پيش پرداخت از محل اعتبارات اختصاصی سنواتي</t>
  </si>
  <si>
    <t>درآمد حاصل از مشارکت طرحهای تحقیقاتی</t>
  </si>
  <si>
    <t>درآمد حاصل از خدمات فناوری ( ثبت اختراعات ،اینترنت و .....)</t>
  </si>
  <si>
    <t>سرمایه گذاری در صندوق پژوهش</t>
  </si>
  <si>
    <t>تضمينات حساب مستقل جاری-اسناد انتظامی دیگران نزد ما</t>
  </si>
  <si>
    <t>تضمینات حساب مستقل عمرانی</t>
  </si>
  <si>
    <t>تضمینات حساب مستقل اختصاصی</t>
  </si>
  <si>
    <t>حساب اجراء و دعاوی حقوقی</t>
  </si>
  <si>
    <t>توضیحی حسابهای مستقل باشد به وقوع نپیوسته است .</t>
  </si>
  <si>
    <t>حسابها و اسناد دریافتنی حاصل از عملیات مبادله ای</t>
  </si>
  <si>
    <t>حسابها و اسناد دریافتنی حاصل از عملیات مبادله ای به شرح ذيل تفكيك مي گردد:</t>
  </si>
  <si>
    <t xml:space="preserve">ریال </t>
  </si>
  <si>
    <t>اسناد دریافتنی حاصل از عملیات مبادله ای به شرح زیر قابل تفکیک می باشد:</t>
  </si>
  <si>
    <t>اسناد دریافتنی در جریان وصول</t>
  </si>
  <si>
    <t>بستن علی الحساب به هزینه</t>
  </si>
  <si>
    <t>4-6</t>
  </si>
  <si>
    <t>نرم افزار ها</t>
  </si>
  <si>
    <t xml:space="preserve">سرمایه گذاری بلند مدت </t>
  </si>
  <si>
    <t>سپرده شرکت در مناقصه</t>
  </si>
  <si>
    <t xml:space="preserve">مانده حساب سپرده های پرداختنی  به شرح زیر قابل تفکیک می باشد: </t>
  </si>
  <si>
    <t>سپرده حسن انجام کار</t>
  </si>
  <si>
    <t xml:space="preserve">سپرده بيمه پيمانکاران                   </t>
  </si>
  <si>
    <t>پیش دریافتها</t>
  </si>
  <si>
    <t>مانده حساب پیش دریافتها ازاقلام ذيل تشكيل شده است :</t>
  </si>
  <si>
    <t>پیش دریافت فروش محصولات (پارس جنوبی)</t>
  </si>
  <si>
    <t>تسهیلات 2 میلیارد دقت شود</t>
  </si>
  <si>
    <t>پیش دریافت 350 تومان دقت شود</t>
  </si>
  <si>
    <t xml:space="preserve">پرداخت طلب سرده از تملک 76 تومان هم </t>
  </si>
  <si>
    <t xml:space="preserve">ذخیره مزایای پایان خدمت کارکنان </t>
  </si>
  <si>
    <t>گردش حساب مزبور طی سال بشرح زیراست :</t>
  </si>
  <si>
    <t xml:space="preserve">مانده در پایان سال </t>
  </si>
  <si>
    <t>درآمد ها</t>
  </si>
  <si>
    <t>دریافتی از خزانه از محل درآمدهای اختصاصی</t>
  </si>
  <si>
    <t>دریافتی از خزانه از محل درآمدهای اختصاصی به شرح زیر است:</t>
  </si>
  <si>
    <t>ثبت هزینه مرخصی ها- ذخیر سنوات</t>
  </si>
  <si>
    <t>درآمدها</t>
  </si>
  <si>
    <t>دریافتی از خزانه از محل اعتبارات تخصیص یافته</t>
  </si>
  <si>
    <t>دریافتی بابت اعتبارات هزينه اي</t>
  </si>
  <si>
    <t>دریافتی بابت عملیات جاری</t>
  </si>
  <si>
    <t>دریافتی از خزانه بابت حقوق و مزایا</t>
  </si>
  <si>
    <t>دریافتی اعتبارات هزینه ای - ابلاغی</t>
  </si>
  <si>
    <t xml:space="preserve">دریافتی بابت اعتبارات هزينه اي  به شرح زیر قابل تفکیک می باشد: </t>
  </si>
  <si>
    <t>دریافتی اعتبارات سرمایه ای</t>
  </si>
  <si>
    <t xml:space="preserve">دریافتی بابت اعتبارات سرمایه ای  به شرح زیر قابل تفکیک می باشد: </t>
  </si>
  <si>
    <t>دریافتی اعتبارات مصوب سرمایه ای</t>
  </si>
  <si>
    <t>دریافتی اعتبارات  سرمایه ای- ابلاغی</t>
  </si>
  <si>
    <t>هزینه ها</t>
  </si>
  <si>
    <t>جبران خدمت کارکنان</t>
  </si>
  <si>
    <t>حقوق و مزایای پرسنل اعضای هیات علمی (حق مدیریت)</t>
  </si>
  <si>
    <t>حقوق و مزایای پرسنل اعضای غیر هیات علمی(رسمی-پیمانی-قراردادی):</t>
  </si>
  <si>
    <t>حقوق ومزایای مستمر</t>
  </si>
  <si>
    <t>عیدی و پاداش و اضافه کاری</t>
  </si>
  <si>
    <t>بازخرید مرخصي و سنوات</t>
  </si>
  <si>
    <t>حق ماموريت</t>
  </si>
  <si>
    <t>استفاده از کالا و خدمات  بشرح زير است :</t>
  </si>
  <si>
    <t>ملزومات مصرفی</t>
  </si>
  <si>
    <t>مواد آزمایشگاهی</t>
  </si>
  <si>
    <t>خدمات نگهبانی</t>
  </si>
  <si>
    <t>خدمات نظافت</t>
  </si>
  <si>
    <t>خدمات فضای سبز</t>
  </si>
  <si>
    <t>خدمات ایاب ذهاب</t>
  </si>
  <si>
    <t>خدمات شبکه و فناوری اطلاعات</t>
  </si>
  <si>
    <t>پذیرایی و تشریفات</t>
  </si>
  <si>
    <t>تعمير و نگهداري ساختمان و مستحدثات</t>
  </si>
  <si>
    <t>تعمير و نگهداري وسايل نقليه</t>
  </si>
  <si>
    <t>تعمير و نگهداري اثاثيه و منصوبات</t>
  </si>
  <si>
    <t>تعمير و نگهداري ماشين آلات و تجهيزات</t>
  </si>
  <si>
    <t>تعمير و نگهداري تاسيسات</t>
  </si>
  <si>
    <t>رفاه اجتماعی</t>
  </si>
  <si>
    <t>رفاه اجتماعی به شرح زیر است :</t>
  </si>
  <si>
    <t xml:space="preserve">بيمه سهم کارفرما رسمي و پيماني       </t>
  </si>
  <si>
    <t xml:space="preserve">بيمه سهم کارفرما قراردادي ها    </t>
  </si>
  <si>
    <t>سایر هزینه ها به شرح زیر است :</t>
  </si>
  <si>
    <t xml:space="preserve">هزينه چاپ،صفحه آرايي ،نشريات            </t>
  </si>
  <si>
    <t xml:space="preserve">نمايشگاه داخلي و خارجی         </t>
  </si>
  <si>
    <t xml:space="preserve">حق ارزيابي و کارشناسي و داوری </t>
  </si>
  <si>
    <t xml:space="preserve">طرح مطالعاتي و تحقيقاتي                 </t>
  </si>
  <si>
    <t>حمایت از شرکت های فناور</t>
  </si>
  <si>
    <t>آموزش و مشاوره</t>
  </si>
  <si>
    <t xml:space="preserve">حسابرسي                                 </t>
  </si>
  <si>
    <t xml:space="preserve">حق عضويت                                </t>
  </si>
  <si>
    <t>پشتیبانی فناوری</t>
  </si>
  <si>
    <t>کد</t>
  </si>
  <si>
    <t>عنوان</t>
  </si>
  <si>
    <t>مانده بدهکار</t>
  </si>
  <si>
    <t xml:space="preserve">هزينه مأموريت                           </t>
  </si>
  <si>
    <t xml:space="preserve">هزينه سفر                               </t>
  </si>
  <si>
    <t xml:space="preserve">کرايه وسائل  نقليه                      </t>
  </si>
  <si>
    <t xml:space="preserve">بهاي بليط مسافرت                        </t>
  </si>
  <si>
    <t xml:space="preserve">حمل کالا و اثاثيه                       </t>
  </si>
  <si>
    <t xml:space="preserve">تلفن و فاکس                             </t>
  </si>
  <si>
    <t xml:space="preserve">اينترنت                                 </t>
  </si>
  <si>
    <t xml:space="preserve">هزينه نشريات و مطبوعات                  </t>
  </si>
  <si>
    <t xml:space="preserve">آگهي و تبليغات                          </t>
  </si>
  <si>
    <t xml:space="preserve">هزينه پذيرائي و تشريفات                 </t>
  </si>
  <si>
    <t xml:space="preserve">حق المشاوره                             </t>
  </si>
  <si>
    <t xml:space="preserve">آب مصرفي                                </t>
  </si>
  <si>
    <t xml:space="preserve">برق مصرفي                               </t>
  </si>
  <si>
    <t xml:space="preserve">گاز مصرفي                               </t>
  </si>
  <si>
    <t xml:space="preserve">سوخت مصرفي                              </t>
  </si>
  <si>
    <t xml:space="preserve">ملزومات مصرفي                           </t>
  </si>
  <si>
    <t xml:space="preserve">تغذيه کارکنان                           </t>
  </si>
  <si>
    <t xml:space="preserve">هزينه آموزش پرسنل                       </t>
  </si>
  <si>
    <t xml:space="preserve">حق بيمه تامين اجتماعي                   </t>
  </si>
  <si>
    <t xml:space="preserve">بيمه تکميلي                             </t>
  </si>
  <si>
    <t xml:space="preserve">حق الجلسه                               </t>
  </si>
  <si>
    <t xml:space="preserve">اياب و  ذهاب                            </t>
  </si>
  <si>
    <t xml:space="preserve">نگهداري فضاي سبز                        </t>
  </si>
  <si>
    <t xml:space="preserve">کارت هديه                               </t>
  </si>
  <si>
    <t xml:space="preserve">هزينه پاداش و بهره وري کارکنان          </t>
  </si>
  <si>
    <t xml:space="preserve">هزينه هاي نوآوران                       </t>
  </si>
  <si>
    <t xml:space="preserve">نظافت و خدمات                           </t>
  </si>
  <si>
    <t xml:space="preserve">هزينه آموزشي                            </t>
  </si>
  <si>
    <t xml:space="preserve">مرکز رشد                                </t>
  </si>
  <si>
    <t xml:space="preserve">حمايت از شرکت هاي رشد فرهنگي            </t>
  </si>
  <si>
    <t xml:space="preserve">ملزومات و مواد مصرفي                    </t>
  </si>
  <si>
    <t xml:space="preserve">حق بيمه                                 </t>
  </si>
  <si>
    <t xml:space="preserve">حق مشاوره                               </t>
  </si>
  <si>
    <t xml:space="preserve">هزينه نمايشگاه خارجي                    </t>
  </si>
  <si>
    <t xml:space="preserve">هزينه نمايشگاه داخلي                    </t>
  </si>
  <si>
    <t xml:space="preserve">حق ارزيابي و کارشناسي                   </t>
  </si>
  <si>
    <t xml:space="preserve">حق عضويت IASP                           </t>
  </si>
  <si>
    <t xml:space="preserve">کارشناسي نوآوري                         </t>
  </si>
  <si>
    <t xml:space="preserve">حمايت از شرکتهاي تبصره 17               </t>
  </si>
  <si>
    <t xml:space="preserve">روابط عمومي                             </t>
  </si>
  <si>
    <t xml:space="preserve">تعمير و نگهداري ساختمان و مستحدثات      </t>
  </si>
  <si>
    <t xml:space="preserve">تعمير و نگهداري وسايل نقليه             </t>
  </si>
  <si>
    <t xml:space="preserve">تعمير و نگهداري ابزار و لوازم           </t>
  </si>
  <si>
    <t xml:space="preserve">تعمير و نگهداري اثاثيه و منصوبات        </t>
  </si>
  <si>
    <t xml:space="preserve">تعمير و نگهداري ماشين آلات و تجهيزات    </t>
  </si>
  <si>
    <t xml:space="preserve">تعمير و نگهداري تاسيسات                 </t>
  </si>
  <si>
    <t xml:space="preserve">هزينه خدمات رايانه اي                   </t>
  </si>
  <si>
    <t xml:space="preserve">ساير هزينه هاي آزمايشگاه پايلوت سراميک  </t>
  </si>
  <si>
    <t xml:space="preserve">حق الزحمه                               </t>
  </si>
  <si>
    <t xml:space="preserve">دستمزد کارگر                            </t>
  </si>
  <si>
    <t xml:space="preserve">پست و مرسولات پستي                      </t>
  </si>
  <si>
    <t xml:space="preserve">ساير هزينه هاي متفرقه                   </t>
  </si>
  <si>
    <t xml:space="preserve">هزينه هاي فرهنگي                        </t>
  </si>
  <si>
    <t xml:space="preserve">رفاهي                                   </t>
  </si>
  <si>
    <t xml:space="preserve">ارزش افزوده                             </t>
  </si>
  <si>
    <t xml:space="preserve">حق مديريت                               </t>
  </si>
  <si>
    <t xml:space="preserve">ماده 38                                 </t>
  </si>
  <si>
    <t xml:space="preserve">انجام امور گزينشي                       </t>
  </si>
  <si>
    <t xml:space="preserve">کارمزد بانکي                            </t>
  </si>
  <si>
    <t xml:space="preserve">هزينه طراحي و دکوراسيون                 </t>
  </si>
  <si>
    <t xml:space="preserve">هزينه هاي دادرسيامور حقوقي              </t>
  </si>
  <si>
    <t xml:space="preserve">انتظامات                                </t>
  </si>
  <si>
    <t xml:space="preserve">همايش                                   </t>
  </si>
  <si>
    <t xml:space="preserve">خدمات IT  شركتها                        </t>
  </si>
  <si>
    <t xml:space="preserve">اياب و ذهاب پرسنل شرکتها                </t>
  </si>
  <si>
    <t xml:space="preserve">نظافت و خدمات شرکتها                    </t>
  </si>
  <si>
    <t xml:space="preserve">انتظامات شرکتها                         </t>
  </si>
  <si>
    <t xml:space="preserve">فضاي سبز شرکت ها                        </t>
  </si>
  <si>
    <t xml:space="preserve">حق ارزيابي و مشاوره شرکتها              </t>
  </si>
  <si>
    <t>هزینه های قضایی، ثبتی و حقوقی</t>
  </si>
  <si>
    <t>آب و برق و سوخت</t>
  </si>
  <si>
    <t>مواد و لوازم مصرف شدنی</t>
  </si>
  <si>
    <t>تعمير و نگهداري ماشين آلات و تجهيزات و تاسیسات</t>
  </si>
  <si>
    <t>هزينه چاپ،صفحه آرايي ،نشريات و تبلیغات</t>
  </si>
  <si>
    <t>کمک های رفاهی</t>
  </si>
  <si>
    <t>صورتهای مالی</t>
  </si>
  <si>
    <t>Row Labels</t>
  </si>
  <si>
    <t>Sum of مانده بدهکار</t>
  </si>
  <si>
    <t>جمع بدون دارایی ها</t>
  </si>
  <si>
    <t xml:space="preserve">رسمي و پيماني           </t>
  </si>
  <si>
    <t>اضافه کاري رسمي و پيماني</t>
  </si>
  <si>
    <t>بيمه سهم کارفرما رسمي و پيماني</t>
  </si>
  <si>
    <t>حقوق قراردادي ها</t>
  </si>
  <si>
    <t>بيمه سهم کارفرما قراردادي ها</t>
  </si>
  <si>
    <t>ذخيره مرخصي</t>
  </si>
  <si>
    <t>حق سنوات</t>
  </si>
  <si>
    <t>هزينه ماموريت</t>
  </si>
  <si>
    <t>دارائي هاي ثابت مشهود</t>
  </si>
  <si>
    <t>دارائي هاي در جريان ساخت</t>
  </si>
  <si>
    <t>خدمات پشتیبانی فناوری</t>
  </si>
  <si>
    <t>خدمات حمل و نقل</t>
  </si>
  <si>
    <t>آب و برق و سوخت و تلفن و پست</t>
  </si>
  <si>
    <t>دارایی‎ها</t>
  </si>
  <si>
    <t>بدهی‎ها و ارزش خالص</t>
  </si>
  <si>
    <t>دارایی‎های جاری</t>
  </si>
  <si>
    <t>بدهی‎های جاری</t>
  </si>
  <si>
    <t>حساب‎ها و اسناد دریافتنی حاصل از عملیات مبادله‎ای</t>
  </si>
  <si>
    <t>پیش‎دریافت‎ها</t>
  </si>
  <si>
    <t>پیش‎پرداخت‎ها</t>
  </si>
  <si>
    <t>جمع بدهی‎های جاری</t>
  </si>
  <si>
    <t>جمع دارایی‎های جاری</t>
  </si>
  <si>
    <t>بدهی‎های غیرجاری</t>
  </si>
  <si>
    <t>دارایی‎های غیرجاری</t>
  </si>
  <si>
    <t>دارایی‎های ثابت مشهود</t>
  </si>
  <si>
    <t>دارایی‎های نامشهود</t>
  </si>
  <si>
    <t>سایر بدهی‎های غیرجاری</t>
  </si>
  <si>
    <t>سرمایه گذاری‎های بلند مدت</t>
  </si>
  <si>
    <t>جمع بدهی‎های غیرجاری</t>
  </si>
  <si>
    <t>ارزش خالص</t>
  </si>
  <si>
    <t>جمع دارایی‎های غیرجاری</t>
  </si>
  <si>
    <t>ارزش خالص انباشته</t>
  </si>
  <si>
    <t>جمع دارایی‎ها</t>
  </si>
  <si>
    <t>جمع بدهی‎ها و ارزش خالص</t>
  </si>
  <si>
    <t>یادداشت‎های توضیحی، بخش جدایی‎ناپذیر صورت‎های مالی است.</t>
  </si>
  <si>
    <t>داراييهاي ثابت مشهود  به شرح ذيل تفكيك مي گردد:</t>
  </si>
  <si>
    <t>جمع بدهی ها</t>
  </si>
  <si>
    <t>هزینه‎ها</t>
  </si>
  <si>
    <t>استفاده از کالاها و خدمات</t>
  </si>
  <si>
    <t>رفاه اجتماعي</t>
  </si>
  <si>
    <t>ساير هزينه‌ها</t>
  </si>
  <si>
    <t>ارزش خالص انباشته ابتدای سال</t>
  </si>
  <si>
    <t>تعديلات سنواتي</t>
  </si>
  <si>
    <t>دارایی نامشهود</t>
  </si>
  <si>
    <t>هزینه ی رفاه اجتماعی</t>
  </si>
  <si>
    <t>شیت سایر منابع جاری و تملک چه می شود؟</t>
  </si>
  <si>
    <t>عدم تخصیص</t>
  </si>
  <si>
    <t>موجودی نزد بانکهای حساب مستقل تملک دارائیهای سرمایه ای</t>
  </si>
  <si>
    <t>ثبت دارایی ها</t>
  </si>
  <si>
    <t>رئیس پارک</t>
  </si>
  <si>
    <t>دریافتی اعتبارات تخصیص یافته</t>
  </si>
  <si>
    <t xml:space="preserve">دریافتی اعتبارات تخصیص یافته به شرح زیر قابل تفکیک می باشد: </t>
  </si>
  <si>
    <t>ارزش خالص انباشته ابتدای سال تعدیل شده</t>
  </si>
  <si>
    <t>درآمد های دولت</t>
  </si>
  <si>
    <t>کسر میشود وجوه ارسالی به خزانه</t>
  </si>
  <si>
    <t xml:space="preserve"> ریال</t>
  </si>
  <si>
    <t>پارک علم و فناوری استان خراسان</t>
  </si>
  <si>
    <t>سایر دارایی ها به شرح زیر قابل تفکیک است:</t>
  </si>
  <si>
    <t>سایر دارایی ها</t>
  </si>
  <si>
    <t>رديف</t>
  </si>
  <si>
    <t>شرح دریافتی</t>
  </si>
  <si>
    <t>نام دستگاه يا شخص</t>
  </si>
  <si>
    <t>مانده سال گذشته</t>
  </si>
  <si>
    <t>دريافتي سال جاري</t>
  </si>
  <si>
    <t>واریز نقدی پرداخت های غیرقطعی</t>
  </si>
  <si>
    <t>پرداختي ها</t>
  </si>
  <si>
    <t>جمع كل پرداختي</t>
  </si>
  <si>
    <t>مانده پايان سال مالي</t>
  </si>
  <si>
    <t>هزينه</t>
  </si>
  <si>
    <t>شهرداری</t>
  </si>
  <si>
    <t>مطالعه و طراحی</t>
  </si>
  <si>
    <t xml:space="preserve">قطار شهری </t>
  </si>
  <si>
    <t>جمع کل سایر منابع هزینه ای</t>
  </si>
  <si>
    <t>مدیر امور مالی</t>
  </si>
  <si>
    <t xml:space="preserve"> آب و فاصلاب خراسان</t>
  </si>
  <si>
    <t>سازه گستر -  تحلیل ارکان</t>
  </si>
  <si>
    <t>یادداشت‎های توضیحی، بخش جدایی‎ناپذیر صورت‎های مالی است</t>
  </si>
  <si>
    <t>ابلاغ قانون بودجه</t>
  </si>
  <si>
    <t>عنوان دستگاه :  پارك علم و فناوري خراسان</t>
  </si>
  <si>
    <t xml:space="preserve">مانده پرداختهای غیر قطعی سنوات قبل دراول سال </t>
  </si>
  <si>
    <t xml:space="preserve">هزینه ازمحل پرداختهای غیر قطعی سنوات قبل </t>
  </si>
  <si>
    <t xml:space="preserve">واریزنقدی ازمحل پرداختهای غیر قطعی سنوات قبل </t>
  </si>
  <si>
    <t>جمع هزينه و واريزي</t>
  </si>
  <si>
    <t>غير قطعي انتقالي به سال بعد</t>
  </si>
  <si>
    <t xml:space="preserve">جمع عملکرد  پرداختهای غیر قطعی سنواتی اعتبارات  مصوب هزینه ای </t>
  </si>
  <si>
    <t xml:space="preserve">جمع عملکرد  پرداختهای غیر قطعی سنواتی اعتبارات  ابلاغي هزينه اي  </t>
  </si>
  <si>
    <t xml:space="preserve">جمع عملکرد  پرداختهای غیر قطعی سنواتی اعتبارات مصوب اختصاصی </t>
  </si>
  <si>
    <t>جمع عملکرد  پرداختهای غیر قطعی سنواتی اعتبارات مصوب و ابلاغی تملک داراییها</t>
  </si>
  <si>
    <t>جمع عملکرد  پرداختهای غیر قطعی سنواتی سایر منابع هزینه ای</t>
  </si>
  <si>
    <t>جمع عملکرد  پرداختهای غیر قطعی سنواتی سایر منابع عمرانی</t>
  </si>
  <si>
    <t>وضعیت پرداختهای غیر قطعی سنوات قبل</t>
  </si>
  <si>
    <t>مانده از سنوات قبل</t>
  </si>
  <si>
    <t>نام گیرنده</t>
  </si>
  <si>
    <t xml:space="preserve">موضوع پرداخت </t>
  </si>
  <si>
    <t>سال پرداخت</t>
  </si>
  <si>
    <t>منبع اعتبار هزینه ای، اختصاصی، تملک دارائیهای سرمایه ای</t>
  </si>
  <si>
    <t>نوع و مبلغ پرداختی</t>
  </si>
  <si>
    <t>پیش پرداخت</t>
  </si>
  <si>
    <t>هزينه اي-مصوب ملي</t>
  </si>
  <si>
    <t>توسعه كارآفريني10515</t>
  </si>
  <si>
    <t>اعتبارات هزینه ای پیش پرداخت سنواتی مصوب</t>
  </si>
  <si>
    <t xml:space="preserve">عليرضا  نوريان                                                                                      </t>
  </si>
  <si>
    <t xml:space="preserve">سعيد  جسمي                                                                                          </t>
  </si>
  <si>
    <t xml:space="preserve">شرکت مهندسي دانش ابزار پيشتاز                                                                       </t>
  </si>
  <si>
    <t>اعتبارات هزینه ای علی الحساب سنواتی مصوب</t>
  </si>
  <si>
    <t xml:space="preserve">اعتبارات سایر منابع پیش پرداخت سنواتی </t>
  </si>
  <si>
    <t xml:space="preserve">جمع کل پرداختهای غیر قطعی اعتبارات هزینه ای </t>
  </si>
  <si>
    <t>توسعه علوم مهندسي</t>
  </si>
  <si>
    <t>اختصاصي-مصوب ملي</t>
  </si>
  <si>
    <t xml:space="preserve">دکتر سعيد رضا  زارع                                                                                 </t>
  </si>
  <si>
    <t xml:space="preserve">توسعه علوم مهندسي </t>
  </si>
  <si>
    <t>اعتبارات اختصاصی پیش پرداخت سنواتی</t>
  </si>
  <si>
    <t>داود تفضلی</t>
  </si>
  <si>
    <t xml:space="preserve">شرکت صنعت فناور سناباد                                                                              </t>
  </si>
  <si>
    <t xml:space="preserve">شرکت مه پخت کار آفرينان توس                                                                         </t>
  </si>
  <si>
    <t>اعتبارات اختصاصی علی الحساب سنواتی</t>
  </si>
  <si>
    <t>جمع کل پرداختهای غیر قطعی اعتبارات اختصاصی</t>
  </si>
  <si>
    <t>تجهیزات آزمایشگاهی</t>
  </si>
  <si>
    <t>1391</t>
  </si>
  <si>
    <t>تملک - ابلاغی</t>
  </si>
  <si>
    <t>اعتبارات تملک داراییها -علی الحساب سنواتی ابلاغی</t>
  </si>
  <si>
    <t xml:space="preserve">سعيد جسمي </t>
  </si>
  <si>
    <t>طرح</t>
  </si>
  <si>
    <t xml:space="preserve">سایر منابع تملک داراییهای سرمایه ای </t>
  </si>
  <si>
    <t>علی الحساب سایر منابع سنواتی تملک داراییهای سرمایه ای</t>
  </si>
  <si>
    <t>جمع کل پرداختهای غیر قطعی سایر منابع تملک داراییهای سرمایه ای</t>
  </si>
  <si>
    <t>جمع کل پرداختهای غیر قطعی سنواتی</t>
  </si>
  <si>
    <t>منبع اعتبار</t>
  </si>
  <si>
    <t>اعتبارات هزینه ای علی الحساب سال جاری مصوب</t>
  </si>
  <si>
    <t>اعتبارات هزینه ای پیش پرداخت سال جاری</t>
  </si>
  <si>
    <t>اعتبارات اختصاصی علی الحساب جاری</t>
  </si>
  <si>
    <t>جمع کل پرداختهای غیر قطعی سالجاری</t>
  </si>
  <si>
    <t>جمع کل پرداختهای غیر قطعی (سالجاری و سنواتی)</t>
  </si>
  <si>
    <t xml:space="preserve">اعتبارات مصوب هزینه ای </t>
  </si>
  <si>
    <t xml:space="preserve">اعتبارات ابلاغی هزینه ای </t>
  </si>
  <si>
    <t>جمع عملکرد اعتبارات ابلاغی تملک دارایی های سرمایه ای</t>
  </si>
  <si>
    <t>طلب حساب مستقل سپرده از حساب مستقل اعتبارات تملک دارایی های سرمایه ای</t>
  </si>
  <si>
    <t>بدهی حساب مستقل  اعتبارات تملک دارایی های سرمایه ای به حساب مستقل سپرده</t>
  </si>
  <si>
    <t>اثاثیه و لوازم اداری</t>
  </si>
  <si>
    <t>7-1</t>
  </si>
  <si>
    <t>7-2</t>
  </si>
  <si>
    <t>هزینه های تملک دارایی های سرمایه ای:</t>
  </si>
  <si>
    <t xml:space="preserve"> 5-1</t>
  </si>
  <si>
    <t>8-1</t>
  </si>
  <si>
    <t>8-2</t>
  </si>
  <si>
    <t xml:space="preserve">دارایی های نامشهود </t>
  </si>
  <si>
    <t>دارایی های  نامشهود از اقلام ذيل تشكيل شده است :</t>
  </si>
  <si>
    <t>حق الامتیاز برق</t>
  </si>
  <si>
    <t>بسمه تعالی</t>
  </si>
  <si>
    <t>الف: تاريخچه فعاليت پارك علم و فناوري</t>
  </si>
  <si>
    <t xml:space="preserve">ج- يادداشتهاي مربوط به اقلام مندرج در صورتهاي مالي                                                                                                                                                                                                             </t>
  </si>
  <si>
    <t>اعتبارات هزینه ای</t>
  </si>
  <si>
    <t>جمع  کل موجودی</t>
  </si>
  <si>
    <t>علی الحساب سرمایه ای</t>
  </si>
  <si>
    <t>27-1</t>
  </si>
  <si>
    <t>27-2</t>
  </si>
  <si>
    <t>سایر بدهی های غیر جاری</t>
  </si>
  <si>
    <t>گردش حساب ذخیره مرخصی کارکنان به شرح ذیل قابل تفکیک می باشد :</t>
  </si>
  <si>
    <t>ذخیره مرخصی پرسنل رسمی در ابتدای دوره</t>
  </si>
  <si>
    <t>ذخیره سنوات ابتدای دوره</t>
  </si>
  <si>
    <t>ذخیره تامین شده:</t>
  </si>
  <si>
    <t>پیش پرداخت سرمایه ای</t>
  </si>
  <si>
    <t>نقل و انتقال بین دارایی ها</t>
  </si>
  <si>
    <t>جدول دارایی ثابت اینجا بیاید</t>
  </si>
  <si>
    <t>درامد حاصل از بازپرداخت حمایت های مالی</t>
  </si>
  <si>
    <t>شیت منابع و مصارف اینجاست</t>
  </si>
  <si>
    <t>شیت مصوب و 3 شیت نمودار ها</t>
  </si>
  <si>
    <t>شیت مانده مصرف نشده و نمودار</t>
  </si>
  <si>
    <t>شیت ابلاغی و نمودارش</t>
  </si>
  <si>
    <t>شیت سایر منابع جاری</t>
  </si>
  <si>
    <t>شیت سایر عمرانی</t>
  </si>
  <si>
    <t>-27</t>
  </si>
  <si>
    <t>-27-1</t>
  </si>
  <si>
    <t>-27-2</t>
  </si>
  <si>
    <t xml:space="preserve">رویداد با اهمیتی که در دوره بعد از تاریخ صورت وضعیت مالی اتفاق افتاده و مستـلزم تعدیل حسابـها و افشای آن در یادداشت های </t>
  </si>
  <si>
    <t>به شرح یادداشت شماره3 به ازای هر سال خدمت کارکنان یک ماه حقوق (بر اساس آخرین حکم در اسفند ماه همان سال) محاسبه و در حسابها ذخیره گردیده است.</t>
  </si>
  <si>
    <t>سایر اشخاص</t>
  </si>
  <si>
    <t>12-1</t>
  </si>
  <si>
    <t>21</t>
  </si>
  <si>
    <t>22</t>
  </si>
  <si>
    <t>23</t>
  </si>
  <si>
    <t>24</t>
  </si>
  <si>
    <t>-26</t>
  </si>
  <si>
    <t>اعتبارات ابلاغی تملک دارایی های سرمایه ای</t>
  </si>
  <si>
    <t>يادداشتهاي توضيحي صورتهای مالی</t>
  </si>
  <si>
    <t>حساب‎های دریافتنی حاصل از عملیات غیر مبادله‎ای</t>
  </si>
  <si>
    <t>حساب‎های پرداختنی حاصل از عملیات غیر مبادله‎ای</t>
  </si>
  <si>
    <t>ارزش خالص انباشته پایان سال</t>
  </si>
  <si>
    <t>يادداشتهاي توضيحي همراه صورتهای مالی:</t>
  </si>
  <si>
    <t>ب: مبناي تهيه صورتهای مالی</t>
  </si>
  <si>
    <t xml:space="preserve">مانده حساب انتظامی به شرح زیر قابل تفکیک می باشد: </t>
  </si>
  <si>
    <t>حسابهای انتظامی - علی الحساب</t>
  </si>
  <si>
    <t>مانده حساب سرمایه گذاری نزد شرکت صندوق پژوهش و فناوری خراسان به شرح زیر قابل تفکیک است:</t>
  </si>
  <si>
    <t>صفحه</t>
  </si>
  <si>
    <t>14-16</t>
  </si>
  <si>
    <t>مانده حساب های پرداختنی حاصل از عملیات مبادله ای به شرح زیر قابل تفکیک می باشد:</t>
  </si>
  <si>
    <t>5-8</t>
  </si>
  <si>
    <t>مصوب ملی</t>
  </si>
  <si>
    <t xml:space="preserve">پويند الکترونيک                                                                                     </t>
  </si>
  <si>
    <t>صکوک</t>
  </si>
  <si>
    <t>مانده در 1396/12/29</t>
  </si>
  <si>
    <t>حق الامتیاز گاز</t>
  </si>
  <si>
    <t>12-2</t>
  </si>
  <si>
    <t>حسابهای پرداختنی</t>
  </si>
  <si>
    <t>سپرده هاي حسن انجام تعهدات</t>
  </si>
  <si>
    <t>ساير اشخاص</t>
  </si>
  <si>
    <t>شركت نظم آوران توس</t>
  </si>
  <si>
    <t>شركت توسعه عمران</t>
  </si>
  <si>
    <t>ناظمين توس</t>
  </si>
  <si>
    <t>شركت مرواريد سبز توس</t>
  </si>
  <si>
    <t>دژوار شرق</t>
  </si>
  <si>
    <t>سهند شبكه ماد</t>
  </si>
  <si>
    <t>نوآوران پژوهان آريان</t>
  </si>
  <si>
    <t>سفر و ماموريت</t>
  </si>
  <si>
    <t>مجتمع آزمایشگاهی و پایلوت سرامیک</t>
  </si>
  <si>
    <t>خدمات مالکیت فکری</t>
  </si>
  <si>
    <t>توسعه فنافرینی</t>
  </si>
  <si>
    <t>هزینه ای مصوب</t>
  </si>
  <si>
    <t>تجاری سازی یافته های پژوهشی</t>
  </si>
  <si>
    <t>علیرضا نوریان</t>
  </si>
  <si>
    <t>پژوهش و راهبری فناوری</t>
  </si>
  <si>
    <t>اختصاصی مصوب</t>
  </si>
  <si>
    <t>تاكسيراني-دكترسعيدصمدي</t>
  </si>
  <si>
    <t>اعتبارات اختصاصی پ پ  جاری</t>
  </si>
  <si>
    <t>مرتضي  دزياني</t>
  </si>
  <si>
    <t>كيان تدبير</t>
  </si>
  <si>
    <t xml:space="preserve">جمع عملکرد مانده مصرف نشده اعتبارات ابلاغی تملک داراییهای سرمایه ای </t>
  </si>
  <si>
    <t>توانمند سازی فاوا</t>
  </si>
  <si>
    <t>سايرمنابع</t>
  </si>
  <si>
    <t>رضا قنبری</t>
  </si>
  <si>
    <t>بودجه</t>
  </si>
  <si>
    <t>حسابهای دریافتنی حاصل از عملیات غیر مبادله ای</t>
  </si>
  <si>
    <t>حسابهای دریافتنی حاصل از عملیات غیر مبادله ای به شرح ذيل تفكيك مي گردد:</t>
  </si>
  <si>
    <t>حسابهای پرداختنی حاصل از عملیات غیر مبادله ای</t>
  </si>
  <si>
    <t>حسابهای پرداختنی حاصل از عملیات غیر مبادله ای به شرح ذيل تفكيك مي گردد:</t>
  </si>
  <si>
    <t>وجه نقد</t>
  </si>
  <si>
    <t>استاد خزانه اسلامی</t>
  </si>
  <si>
    <t>تعدیلات</t>
  </si>
  <si>
    <t xml:space="preserve"> در سال مورد رسیدگی، دارایی ها به مبلغ 110 میلیارد ریال تحت پوشش بیمه ای قرار گرفته است</t>
  </si>
  <si>
    <t>حساب‎های پرداختنی حاصل از عملیات مبادله‎ای</t>
  </si>
  <si>
    <t xml:space="preserve"> برنامه پژوهش وراهبري علم وفناوری</t>
  </si>
  <si>
    <t>برنامه تجاري سازي يافته هاي پژوهشي</t>
  </si>
  <si>
    <t>برنامه توسعه فن آفريني</t>
  </si>
  <si>
    <t>مجيد شريعت</t>
  </si>
  <si>
    <t>رضا قاليباف باغسياه</t>
  </si>
  <si>
    <t>عليرضا رامندي</t>
  </si>
  <si>
    <t>سيد عبدالجواد  احمدي</t>
  </si>
  <si>
    <t>حسين تقوي</t>
  </si>
  <si>
    <t>ادوات راهداري شهاب</t>
  </si>
  <si>
    <t>1397/12/29</t>
  </si>
  <si>
    <t xml:space="preserve">مرکزرشد فرهنگی </t>
  </si>
  <si>
    <t>ودایع</t>
  </si>
  <si>
    <t>سپرده</t>
  </si>
  <si>
    <t>سال مالی منتهی 29 اسفند ماه 1397</t>
  </si>
  <si>
    <t>بانک تجارت حساب 425303996</t>
  </si>
  <si>
    <t>بانک مرکزی- رد وجوه سپرده-4101104952133395</t>
  </si>
  <si>
    <t xml:space="preserve">بانک مرکزی- دریافت وجوه سپرده 4001104906377933 </t>
  </si>
  <si>
    <t xml:space="preserve">بانک تجارت- سپرده 4252/67728 </t>
  </si>
  <si>
    <t>مانده در 1397/12/29</t>
  </si>
  <si>
    <t>مانده در 97/12/29</t>
  </si>
  <si>
    <t>ذخیره تامین شده طی سال</t>
  </si>
  <si>
    <t>ذخیره پرداخت شده طی سال</t>
  </si>
  <si>
    <t>کمک های رفاهی و بیمه تکمیلی</t>
  </si>
  <si>
    <t xml:space="preserve">بيمه سهم کارفرما رسمي و پيماني و قراردادی </t>
  </si>
  <si>
    <t>دارایی نامشهود به این جدول اضافه شود - نرم افزار ها فقط به این جدول اضافه شود - هزینه استلاک - دارایی نامشهود</t>
  </si>
  <si>
    <t>17-1</t>
  </si>
  <si>
    <t>17-2</t>
  </si>
  <si>
    <t>درامد حاصل از بازپرداخت حمایت های مالی دریافتی از صندوق پژوهش و فناوری</t>
  </si>
  <si>
    <t>کمک به صندوق پژوهش بابت حمایت مالی به واحد های فناور</t>
  </si>
  <si>
    <t>قرارداد های پژوهشی سه جانبه</t>
  </si>
  <si>
    <t>ارسالی به خزانه</t>
  </si>
  <si>
    <t>اسناد خزانه</t>
  </si>
  <si>
    <t>نقل و انتقال بر اساس مصوبات هیات امنا</t>
  </si>
  <si>
    <t>موجودی نزد بانک مرکزی - حساب غیر قابل برداشت</t>
  </si>
  <si>
    <t>سایر هزینه های حمایتی</t>
  </si>
  <si>
    <t>درآمد های دولت به شرح زیر قابل تفکیک می باشد</t>
  </si>
  <si>
    <t>حسابهای انتظامی - اسناد خزانه اسلامی</t>
  </si>
  <si>
    <t>دریافتی از خزانه (نقد و اسناد خزانه)</t>
  </si>
  <si>
    <t>سود سهام و سپرده</t>
  </si>
  <si>
    <t>مانده پس از تعدیلات</t>
  </si>
  <si>
    <t>بستانکار</t>
  </si>
  <si>
    <t>بدهکار</t>
  </si>
  <si>
    <t>مانده قبل از تعدیلات</t>
  </si>
  <si>
    <t>شماره یادداشت</t>
  </si>
  <si>
    <t>شرح</t>
  </si>
  <si>
    <t>(تجدید ارایه شده)</t>
  </si>
  <si>
    <t>موجودی نزد بانکها درآمدآخر سال قابل واریز به حساب غیر قابل برداشت</t>
  </si>
  <si>
    <t>مانده مصرف نشده در پایان سال</t>
  </si>
  <si>
    <t>اثاثیه منصوبات</t>
  </si>
  <si>
    <t>ماشین الات وتجهیزات</t>
  </si>
  <si>
    <t>ساختمان و مستحدثات</t>
  </si>
  <si>
    <t>زمین</t>
  </si>
  <si>
    <t>تاسیسات</t>
  </si>
  <si>
    <t>وسایط نقلیه</t>
  </si>
  <si>
    <t>مانده ابتدای دوره تعدیل شده</t>
  </si>
  <si>
    <t xml:space="preserve">ماشین الات وتجهیزات </t>
  </si>
  <si>
    <t>حق الامتیاز آب</t>
  </si>
  <si>
    <t>جمع کل دارایی ثابت مشهود</t>
  </si>
  <si>
    <t>خطوط تلفن</t>
  </si>
  <si>
    <t xml:space="preserve">داراييهاي ثابت نا مشهود </t>
  </si>
  <si>
    <t>تعدیلات طی دوره به شرح زیر قابل تفکیک می باشد</t>
  </si>
  <si>
    <t>هزینه استهلاک</t>
  </si>
  <si>
    <t>هزینه استهلاک دارایی های ثابت مشهود</t>
  </si>
  <si>
    <t>هزینه استهلاک دارایی های ثابت نامشهود</t>
  </si>
  <si>
    <t>زمین به شرح زیر قابل تفکیک است</t>
  </si>
  <si>
    <t>زمين پارك</t>
  </si>
  <si>
    <t>زمِين ساختمان سجاد</t>
  </si>
  <si>
    <t>زمين مركز رشد نيشابور</t>
  </si>
  <si>
    <t>زمين مركز رشد گناباد</t>
  </si>
  <si>
    <t>ساختمان و مستحدثات به شرح زیر قابل تفکیک است</t>
  </si>
  <si>
    <t>سوله ها</t>
  </si>
  <si>
    <t>8-3</t>
  </si>
  <si>
    <t>8-4</t>
  </si>
  <si>
    <t>ماشین الات و تجهیزات  به شرح زیر قابل تفکیک است</t>
  </si>
  <si>
    <t>انواع تجهيزات و ادوات كشاورزي، دامداري، مرغداري، آبزيان و ساير تجهيزات</t>
  </si>
  <si>
    <t>انواع ماشين‌آلات كشاورزي، تراكتور، كمباين و نظاير آن</t>
  </si>
  <si>
    <t>انواع وسايل و تجهيزات بيمارستاني، دندانپزشكي ، آزمايشگاهي و نظاير آن</t>
  </si>
  <si>
    <t>8-5</t>
  </si>
  <si>
    <t>921,629,987,532</t>
  </si>
  <si>
    <t>پارک علم و فناوری استان خراسان رضوی</t>
  </si>
  <si>
    <t>شناسایی اولیه دارایی ها</t>
  </si>
  <si>
    <t>اصلاح مانده اسناد دریافتنی اول دوره</t>
  </si>
  <si>
    <t>شناسایی اولیه دارایی</t>
  </si>
  <si>
    <t xml:space="preserve">داراييهاي ثابت نامشهود </t>
  </si>
  <si>
    <t>8-1-1</t>
  </si>
  <si>
    <t>8-5-1</t>
  </si>
  <si>
    <t>9-1</t>
  </si>
  <si>
    <t>موجودی نزد بانکها آخر سال قابل واریز به حساب غیر قابل برداشت</t>
  </si>
  <si>
    <t>ساير حسابها و اسناد دريافتني- علی الحساب کارمندان</t>
  </si>
  <si>
    <t>ودايع - سپرده شرکت در مناقصه</t>
  </si>
  <si>
    <t>افزایش سرمایه در سهام شرکت صندوق پژوهش و فناوری خراسان بر اساس مصوبه مجمع عمومی مورخ 1396/04/08 صندوق پژوهش</t>
  </si>
  <si>
    <t xml:space="preserve">سایر درآمدها </t>
  </si>
  <si>
    <t xml:space="preserve">سایر درآمدها شرح زير قابل تفكيك مي باشد : </t>
  </si>
  <si>
    <t>سایر  دارایی ها - نامشهود</t>
  </si>
  <si>
    <t>-25</t>
  </si>
  <si>
    <t>کسر شود : استهلاک انباشته دارایی های نامشهود</t>
  </si>
  <si>
    <t xml:space="preserve">استهلاک دارائیهای شناسائی شده   </t>
  </si>
  <si>
    <t>ساختمان اداري سجاد</t>
  </si>
  <si>
    <t>ساختمان پايلوت سراميك</t>
  </si>
  <si>
    <t>ساختمان موسسات فناور سایت پارک</t>
  </si>
  <si>
    <t xml:space="preserve"> ساختمان اداري مركزي سایت پارک</t>
  </si>
  <si>
    <t>سایر ساختمان ها</t>
  </si>
  <si>
    <t>هزینه استهلاک به شرح زیر است :</t>
  </si>
  <si>
    <t>پارک بابت عوارض بناهای احداث شده، طبق توافقات شفاهی بعمل آمده با شهرداری،حدودا مبلغ 22 میلیارد ریال بدهکار می باشد</t>
  </si>
  <si>
    <t>که به دلیل عدم قطعیت مورد مزبور، هیچگونه پرداختی صورت نگرفته است.</t>
  </si>
  <si>
    <t>8-6</t>
  </si>
  <si>
    <t xml:space="preserve">8-داراييهاي ثابت مشهود </t>
  </si>
  <si>
    <t xml:space="preserve">دارايي هاي اضافه شده طي سال مالي </t>
  </si>
  <si>
    <t>مبلغ 560247 میلیون ریال بابت شناسایی زمین های سایت پارک و مراکز رشد گناباد و نیشابور می باشد.</t>
  </si>
  <si>
    <t>12-2-1</t>
  </si>
  <si>
    <t>مانده سپرده پرداختنی- حسن انجام کار و سایر سپرده ها به شرح افراد زیر قابل تفکیک می باشد</t>
  </si>
  <si>
    <t>11-1-1</t>
  </si>
  <si>
    <t>11-1</t>
  </si>
  <si>
    <t>-</t>
  </si>
  <si>
    <t>توسعه علوم فناوری نوین</t>
  </si>
  <si>
    <t>صورتحساب عملکرد اعتبارات مصوب بودجه (هزینه ای ، تملک داراییهای سرمایه ای ، اختصاصی ) سال 1398</t>
  </si>
  <si>
    <t>صورتحساب وضعیت وجوه مصرف نشده سنوات قبل اعتبارات  (هزینه ای ،اختصاصی، تملک داراییهای سرمایه ای ) سال 1398</t>
  </si>
  <si>
    <t>صورتحساب عملکرد اعتبارات ابلاغی (هزینه ای، تملک داراییهای سرمایه ای) سال 1398</t>
  </si>
  <si>
    <t>صورتحساب وضعیت سایر منابع (هزینه ای) سال  1398</t>
  </si>
  <si>
    <t>26-2-مقایسه وصولی درآمد اختصاصی سالهاي 1397 و 1398 بشرح ذيل مي باشد</t>
  </si>
  <si>
    <t>سال مالي منتهي به 29 اسفند ماه 1398</t>
  </si>
  <si>
    <t>حساب رسالت 1000227120077001</t>
  </si>
  <si>
    <t>4101104900191933اعتبارات عمومي</t>
  </si>
  <si>
    <t>حساب رسالت 1071200772</t>
  </si>
  <si>
    <t>حساب سپرده حمايتي صندوق پژوهش</t>
  </si>
  <si>
    <t>پشتيبان حسابدومنظوره 425303996</t>
  </si>
  <si>
    <t>تملك 425080792</t>
  </si>
  <si>
    <t>جاري مشترك مهر ايران 36341228910161</t>
  </si>
  <si>
    <t>سپرده پس انداز مهرايران 361471034921471</t>
  </si>
  <si>
    <t>در تاریخ 29 اسفند ماه 1398</t>
  </si>
  <si>
    <t>1398/12/29</t>
  </si>
  <si>
    <t>برای سال مالي منتهي به 29 اسفند ماه 1398</t>
  </si>
  <si>
    <t>برای سال مالی منتهی 29 اسفند ماه 1398</t>
  </si>
  <si>
    <t xml:space="preserve">سال مالي منتهي به 29 اسفند ماه 1398 </t>
  </si>
  <si>
    <t xml:space="preserve">منابع و مصارف صورت مقایسه بودجه با عملکرد سال مالی 1398 به شرح زیر قابل تفکیک می باشد: </t>
  </si>
  <si>
    <t>منابع  صورت مقایسه بودجه با عملکرد سال مالی 1398 :</t>
  </si>
  <si>
    <t>مصارف  صورت مقایسه بودجه با عملکرد سال مالی 1398 :</t>
  </si>
  <si>
    <t>صورتحساب وضعیت پرداختهای غیر قطعی سنوات قبل اعتبارات  (هزینه ای، اختصاصی و تملک داراییهای سرمایه ای) سال 1398</t>
  </si>
  <si>
    <t>سال مالی منتهی 29 اسفند ماه 1398</t>
  </si>
  <si>
    <t>مانده در 1398/12/29</t>
  </si>
  <si>
    <t>26-1-مقایسه پیش بینی و وصولی درآمد اختصاصی سال مالی منتهی به 1398/12/29 بشرح ذيل مي باشد</t>
  </si>
  <si>
    <t>حسابداری بخش عمومی تهیه و تنظیم گردیده، برای سال مالی منتهی به 29 اسفندماه 1398 به شرح زير تقديم مي‌گردد :</t>
  </si>
  <si>
    <t>نانو ساختار آويژه</t>
  </si>
  <si>
    <t>بريد سامانه نوين</t>
  </si>
  <si>
    <t>محمد خسروي</t>
  </si>
  <si>
    <t>محمد امين سليماني</t>
  </si>
  <si>
    <t>اسماعيل عابدي</t>
  </si>
  <si>
    <t>فاطمه سادات عبدالهي</t>
  </si>
  <si>
    <t>امير حسين يوسفي</t>
  </si>
  <si>
    <t>علي برجسته دلفروز</t>
  </si>
  <si>
    <t>علي ساقي</t>
  </si>
  <si>
    <t>الهه  مرادي</t>
  </si>
  <si>
    <t>مصطفي آقاحاجي</t>
  </si>
  <si>
    <t>فائزه سهيلي</t>
  </si>
  <si>
    <t>محمد پورعلي</t>
  </si>
  <si>
    <t>فاطمه حبيبي</t>
  </si>
  <si>
    <t>محمد رضا شريفي حصار</t>
  </si>
  <si>
    <t>سيد مصطفي حسيني</t>
  </si>
  <si>
    <t>بانک تجارت 425080814</t>
  </si>
  <si>
    <t>دارایی نامشهود در جریان تکمیل</t>
  </si>
  <si>
    <t>حق الامتیاز و فرانشیز</t>
  </si>
  <si>
    <t>مبلغ 25301 میلیون ریال مربوط به تعداد 23001 سهام به ارزش هر سهم 1/1 میلیون ریال نزد شرکت صندوق پژوهش و فناوری خراسان رضوی می باشد.</t>
  </si>
  <si>
    <t>عاملیت دو صندوق پژوهش- وجوه حمایت از واحد های فناور</t>
  </si>
  <si>
    <t>عاملیت یک صندوق پژوهش- وجوه نزد صندوق بابت حمایت از واحد های فناور</t>
  </si>
  <si>
    <t>موسسه مطالعات راهبردي بشرا ( صادق پور )</t>
  </si>
  <si>
    <t>ناظمان صديق رضوان</t>
  </si>
  <si>
    <t>شركت برق استان خراسان رضوي</t>
  </si>
  <si>
    <t>ارند پرتو ايرانيان</t>
  </si>
  <si>
    <t>آشيان سازان آداك</t>
  </si>
  <si>
    <t>سایر بدهی های غیر مبادله ای - بیمه و مالیات اسفند ماه پرسنل</t>
  </si>
  <si>
    <t xml:space="preserve">اختصاصی مصوب </t>
  </si>
  <si>
    <t>نانو ساختار آویژه</t>
  </si>
  <si>
    <t xml:space="preserve">مصوب هزینه ای </t>
  </si>
  <si>
    <t>تجاری سازی یافته پژوهشی</t>
  </si>
  <si>
    <t>پژوهش و راهبری</t>
  </si>
  <si>
    <t>سود سهام و سپرده بانکی</t>
  </si>
  <si>
    <t>ناظمان صدیق رضوان</t>
  </si>
  <si>
    <t>واحد سير رضوي</t>
  </si>
  <si>
    <t xml:space="preserve">مانده حساب های پرداختنی  به شرح زیر قابل تفکیک می باشد: </t>
  </si>
  <si>
    <t>ارائه خدمات نواوري و مالكيت فكري</t>
  </si>
  <si>
    <t>ارائه سایر خدمات پشتیبانی</t>
  </si>
  <si>
    <t>حمایت مالی از واحد های فناور</t>
  </si>
  <si>
    <t>متوازن جزء14 ردیف550000 - پارک</t>
  </si>
  <si>
    <t>متوازن جزء14 ردیف550000 - گناباد</t>
  </si>
  <si>
    <t>متوازن جزء14 ردیف550000 - نیشابور</t>
  </si>
  <si>
    <t xml:space="preserve">جمع عملکرد مانده مصرف نشده اعتبارات  تملک داراییهای سرمایه ای </t>
  </si>
  <si>
    <t>تملک دارایی های مصوبه هیات امنا</t>
  </si>
  <si>
    <t>50 درصد پژوهشی - نیشابور</t>
  </si>
  <si>
    <t>50 درصد پژوهشی- پایلوتهای فناوری</t>
  </si>
  <si>
    <t xml:space="preserve"> تجهیز آزمایشگاه و کارگاه</t>
  </si>
  <si>
    <t>پرداخت پاداش پایان خدمت آقای هنگوال - مقربی و نویریان</t>
  </si>
  <si>
    <t xml:space="preserve">حمایت از مرکز نوآوری تربت حیدریه  </t>
  </si>
  <si>
    <t xml:space="preserve">حمایت از مرکز نوآوری گناباد </t>
  </si>
  <si>
    <t xml:space="preserve">پایلوت های فناور </t>
  </si>
  <si>
    <t>حمایت از فعالیت های نوآورانه علمی - دریک</t>
  </si>
  <si>
    <t>مرکز رشد فرهنگی - تتمه سال 96</t>
  </si>
  <si>
    <t>پایلوت ای فناوری - موافقت نامه دوم</t>
  </si>
  <si>
    <t xml:space="preserve">ارتقا کیفیت فعالیتهای آموزشی و کمک آموزشی -چالش کرونا </t>
  </si>
  <si>
    <t>توسعه نوآوری ها و فناوری های مرکز نیشابور</t>
  </si>
  <si>
    <t>تجاری سازی - نیشابور</t>
  </si>
  <si>
    <t>توسعه علوم فناوری نوین-تربت حیدریه</t>
  </si>
  <si>
    <t>حمايت از ترويج نتايج پژوهشي</t>
  </si>
  <si>
    <t>کمک به تکمیل فضای پژوهشی-اسناد خزانه</t>
  </si>
  <si>
    <t>نقل و انتقال هیات امنا</t>
  </si>
  <si>
    <t>تعمیرات اساسی  و خرید تجهیزات</t>
  </si>
  <si>
    <t>تعمیر و تجهیز -گناباد - اسناد خزانه</t>
  </si>
  <si>
    <t>تعمیر و تجهیز -نیشابور - اسناد خزانه</t>
  </si>
  <si>
    <t>تامین فضای پژوهشی- اسناد خزانه</t>
  </si>
  <si>
    <t>معاونت علمی</t>
  </si>
  <si>
    <t>پایلوت های فناوری</t>
  </si>
  <si>
    <t xml:space="preserve">بابت حمايت از مرکز نیشابور </t>
  </si>
  <si>
    <t>اعتبارات عمومی خزانه 1933</t>
  </si>
  <si>
    <t>سپرداه و ودایع</t>
  </si>
  <si>
    <t>بانک تجارت حساب  425080792</t>
  </si>
  <si>
    <r>
      <t xml:space="preserve">      </t>
    </r>
    <r>
      <rPr>
        <b/>
        <u/>
        <sz val="14"/>
        <rFont val="B Titr"/>
        <charset val="178"/>
      </rPr>
      <t xml:space="preserve"> د: گروه حسابهای انتظامی </t>
    </r>
  </si>
  <si>
    <t>ساير حق الزحمه هاي انجام خدمات قراردادي</t>
  </si>
  <si>
    <t>به شرح یادداشت شماره 3 کارکنان رسمی تا پایان سال حداکثر به ازای هر کارمند 15 روز و بر اساس آخرین حکم در اسفند ماه سالجاری محاسبه و در حسابها اعمال می گردد.</t>
  </si>
  <si>
    <t>شهرداری - مرکز رشد فرهنگی</t>
  </si>
  <si>
    <t>مرکز رشد فرهنگی -ساختمان سجاد</t>
  </si>
  <si>
    <t>فروش - اسقاط</t>
  </si>
  <si>
    <t>11-2</t>
  </si>
  <si>
    <t>ذخیره  تامین شده پرسنل رسمی</t>
  </si>
  <si>
    <t>ذخیره تامین شده پرسنل قراردادی</t>
  </si>
  <si>
    <t>حق الامتیازها</t>
  </si>
  <si>
    <t>9-2</t>
  </si>
  <si>
    <t>حق الامتیاز ها  به شرح زیر قابل تفکیک است</t>
  </si>
  <si>
    <t>نرم افزار ها به شرح زیر قابل تفکیک است</t>
  </si>
  <si>
    <t>6-1</t>
  </si>
  <si>
    <t>13-1</t>
  </si>
  <si>
    <t xml:space="preserve">انتقال مانده ازسال قبل </t>
  </si>
  <si>
    <t>معاونت علمی ریاست جمهوری - مرکز رشد فرهنگی - بابت ساختمان سجاد</t>
  </si>
  <si>
    <t>معاونت علمی ریاست جمهوری - کمک به ساخت مرکز رشد نیشابور</t>
  </si>
  <si>
    <t>معاونت علمی ریاست جمهوری -بابت ساخت پایلوت های فناوری در سایت پارک</t>
  </si>
  <si>
    <t>مساعده کارکنان</t>
  </si>
  <si>
    <t>مبلغ 114.245 میلیون ریال شامل مبلغ 99.145 میلیون ریال وجه نقد و مبلغ 15.100 میلیون ریال اسناد خزانه اسلامی می باشد</t>
  </si>
  <si>
    <t>کاهش مبلغ 184 میلیون ریال وسایل نقلیه مربوط به  مزایده پژو و پراید پارک می باشد</t>
  </si>
  <si>
    <t xml:space="preserve">حمایت مالی مستقیم از واحد های فناور </t>
  </si>
  <si>
    <t>دارایی ثابت در جریان</t>
  </si>
  <si>
    <t>مبلغ 1.734 میلیون ریال بدهی حساب مستقل تملک دارایی های سرمایه ای به حساب مستقل سپرده در سال 1398 تسویه  شده است</t>
  </si>
  <si>
    <t>مبلغ 1.734 میلیون ریال بدهی حساب مستقل تملک دارایی های سرمایه ای به حساب مستقل سپرده در سال 1398 تسویه شده است</t>
  </si>
  <si>
    <t>وقایع بعد از تاریخ صورت وضعیت مالی</t>
  </si>
  <si>
    <t xml:space="preserve"> 5-2</t>
  </si>
  <si>
    <t>حسابهای دریافتنی حاصل از عملیات مبادله ای</t>
  </si>
  <si>
    <t>اسناد دریافتنی حاصل از عملیات مبادله ای</t>
  </si>
  <si>
    <t>حسابهای دریافتنی حاصل از عملیات مبادله ای به شرح زیر قابل تفکیک می باشد:</t>
  </si>
  <si>
    <t>-5-2</t>
  </si>
  <si>
    <t>مانده اول دوره</t>
  </si>
  <si>
    <t>اضافات طی دوره :اثاثيه اداري، تجهيزات كامپيوتري، مخابراتي و نظاير آن</t>
  </si>
  <si>
    <t>کاهش طی دوره: اسقاط اثاثیه</t>
  </si>
  <si>
    <t>اضافه و کاهش اثاثیه و منصوبات به شرح زیر قابل تفکیک است</t>
  </si>
  <si>
    <t>کاهش وسایل نقلیه  به شرح زیر قابل تفکیک است</t>
  </si>
  <si>
    <t>کاهش طی دوره: فروش وسایل نقلیه از طریق مزایده وسایل نقلیه</t>
  </si>
  <si>
    <t>جمع دارایی های ثابت مشهود</t>
  </si>
  <si>
    <t>سود سهام صندوق پژوهش</t>
  </si>
  <si>
    <t>پاداش عضو هیات مدیره صندوق پژوهش</t>
  </si>
  <si>
    <t>6-2</t>
  </si>
  <si>
    <t>عاملیت یک صندوق، مانده حساب وجوه نزد صندوق پژوهش طبق قرارداد عاملیت یک می باشد که طبق آن علی رغم عدم بازپرداخت حمایت ها شرکت های پارک، صندوق پژوهش ضمانت بازپرداخت وجوه به پارک را دارد.</t>
  </si>
  <si>
    <t>14-1</t>
  </si>
  <si>
    <t>پیش دریافت قطعی شده مربوط به قرارداد انتقالی مجتمع پارس جنوبی با پارک می باشد که در سال 1398 پروژه تکمیل و قطعی شده است</t>
  </si>
  <si>
    <t>23-1</t>
  </si>
  <si>
    <t>مبلغ 26.633 میلیون ریال مربوط به قرارداد های انتقالی پارک می باشد که به شرکت های فناور پارک پرداخت شده است.</t>
  </si>
  <si>
    <t xml:space="preserve"> توسعه فضای استقرار -پایلوت های فناور</t>
  </si>
  <si>
    <t>تسویه شده در سال 1398</t>
  </si>
  <si>
    <t>مانده در پایان 1398</t>
  </si>
  <si>
    <t>فهرست مانده پرداختهای غیرقطعی سال جاری اعتبارات (هزینه ای، اختصاصی، تملک دارائیهای سرمایه ای و سایرمنابع) 
سال مالی منتهی به 29 اسفندماه 1398</t>
  </si>
  <si>
    <t xml:space="preserve"> پارک علم و فناوری خراسان</t>
  </si>
  <si>
    <t>اعتبارات هزینه ای : 145.500 میلیون ریال</t>
  </si>
  <si>
    <t>اعتبارات سرمایه ای :  19.590 میلیون ریال</t>
  </si>
  <si>
    <t>اعتبارات اختصاصی : 56.206 میلیون ریال</t>
  </si>
  <si>
    <t>حمایت مالی مستقیم از واحد های فناور</t>
  </si>
  <si>
    <t>اسناد خزانه دریافتنی - قرارداد آب و فاضلاب</t>
  </si>
  <si>
    <t>حساب انتظامی - کنترل حمایت های مالی از واحد های فناوری</t>
  </si>
  <si>
    <t>اع حمايتي رشد مقدماتي</t>
  </si>
  <si>
    <t>اع خدماتي رشد مقدماتي</t>
  </si>
  <si>
    <t>اع حمايتي -تحقيقاتي رشد</t>
  </si>
  <si>
    <t>اع حمايتي -خدماتي حمايتي -توسعه اي رشد</t>
  </si>
  <si>
    <t>حمایت مالی مستقیم از واحدهای فناور در اصلاحیه بودجه تفصیلی سال 1398 به مبلغ 019ر57 میلیون ریال در نظر گرفته شده است که از مبلغ مزبور مبلغ 255ر14 میلیون ریال معادل 25% به واحدهای فناور به شرح زیر پرداخت گردیده است .</t>
  </si>
  <si>
    <t xml:space="preserve">یادداشت </t>
  </si>
  <si>
    <t xml:space="preserve">حمایت مالی از واحدهای دوره پیش رشد </t>
  </si>
  <si>
    <t xml:space="preserve">حمایت مالی از واحدهای دوره رشد </t>
  </si>
  <si>
    <t>حمایت مالی از واحدهای فناور</t>
  </si>
  <si>
    <t>حمایت مالی از واحدهای دوره پیش رشد به شرح ذیل می باشد:</t>
  </si>
  <si>
    <t>سعيد  معصوم زاده</t>
  </si>
  <si>
    <t>حمايتي پيش رشد</t>
  </si>
  <si>
    <t>مهدي  سليماني</t>
  </si>
  <si>
    <t>فاطمه عباس زاده</t>
  </si>
  <si>
    <t>محمد جواد  منفرد</t>
  </si>
  <si>
    <t>صدراله خاكسار ديسفاني</t>
  </si>
  <si>
    <t>مرتضي آذر نوشان</t>
  </si>
  <si>
    <t>علي اصغري</t>
  </si>
  <si>
    <t>محمد باقر صابري مقدم طهراني</t>
  </si>
  <si>
    <t>جواد غلامي شيراز</t>
  </si>
  <si>
    <t>حسين پاكدل نوقابي</t>
  </si>
  <si>
    <t>اميد مقدس</t>
  </si>
  <si>
    <t>احسان عظيمي راد</t>
  </si>
  <si>
    <t>امير كريمي فرد</t>
  </si>
  <si>
    <t>ميلاد اسحاقي</t>
  </si>
  <si>
    <t>مهدي يار شيدايي</t>
  </si>
  <si>
    <t>بهناز افضليان مند</t>
  </si>
  <si>
    <t>حسين مهرابادي</t>
  </si>
  <si>
    <t>حميد دليري راد</t>
  </si>
  <si>
    <t>آريا صنعت سازه بارثاوا</t>
  </si>
  <si>
    <t>حميدرضا غرويان</t>
  </si>
  <si>
    <t>سنجش ره آورد نيكان سناباد</t>
  </si>
  <si>
    <t>مهسا حسين پور مقدم</t>
  </si>
  <si>
    <t>فرزاد كلانتري</t>
  </si>
  <si>
    <t>امير جاجرمي</t>
  </si>
  <si>
    <t>جواد كوه بناني</t>
  </si>
  <si>
    <t>سعيد امامي</t>
  </si>
  <si>
    <t>محمد مهدي براتي جوزان</t>
  </si>
  <si>
    <t>بوژان فناور هورتاش</t>
  </si>
  <si>
    <t xml:space="preserve">نسیم سلطانخواه </t>
  </si>
  <si>
    <t>حمایت مالی از واحدهای دوره رشد به شرح ذیل می باشد:</t>
  </si>
  <si>
    <t>آرون زيست طب پاز</t>
  </si>
  <si>
    <t>دوره رشد</t>
  </si>
  <si>
    <t>آريا تكين هنر نوانديش</t>
  </si>
  <si>
    <t>آريا صنعت هوشمند اسپاد</t>
  </si>
  <si>
    <t>ابر صنعت اكسون شرق</t>
  </si>
  <si>
    <t>ارغوان توس مشرق زمين</t>
  </si>
  <si>
    <t>افزودني هاي طبيعي گلچين توس</t>
  </si>
  <si>
    <t>امين فاطمي محمدآباد-غزل گوهر دردانه درخشان</t>
  </si>
  <si>
    <t>باهشت گردشگر ايرانيان</t>
  </si>
  <si>
    <t>بهسامان انرژي روژان توس</t>
  </si>
  <si>
    <t>تابان انديش برجيس</t>
  </si>
  <si>
    <t>تجهيز بتن مهدي</t>
  </si>
  <si>
    <t>تجهيزات پيشرفته درمان توس شركت</t>
  </si>
  <si>
    <t>داريا دانش بارثاوا</t>
  </si>
  <si>
    <t>رسانه هوشمند همسا</t>
  </si>
  <si>
    <t>زيست گستران سبز صنعت اقليما</t>
  </si>
  <si>
    <t>سپهر نوآفريني رايا نيك</t>
  </si>
  <si>
    <t>شركت صنعت هوشمند آترين نوين</t>
  </si>
  <si>
    <t>شركت نوآوران هوش گستر آرام</t>
  </si>
  <si>
    <t>صنايع ارتوپدي آراد طب توس</t>
  </si>
  <si>
    <t>فناوريهاي نوين نانو مقياس</t>
  </si>
  <si>
    <t>كارآفرينان تدبير انديش</t>
  </si>
  <si>
    <t>كيان گسترش سلامت آسيا</t>
  </si>
  <si>
    <t>مطلق كاران شرق-وحيده بهفروز</t>
  </si>
  <si>
    <t>مهام الكترونيك سما صنعت</t>
  </si>
  <si>
    <t>مهد گوهر ارتباط آريا</t>
  </si>
  <si>
    <t>ميعاد الكتريك پارس</t>
  </si>
  <si>
    <t>نوآوران پيشتاز مبتكر نوين سبز</t>
  </si>
  <si>
    <t>نگار كاني فوم آساك</t>
  </si>
  <si>
    <t>پارس ساوا نوين هنر فناور</t>
  </si>
  <si>
    <t>پارس سايان الكترونيك توس</t>
  </si>
  <si>
    <t>پويش تجهيز هيراد نوين</t>
  </si>
  <si>
    <t>پيشرو سازه پيوند بارثاوا</t>
  </si>
  <si>
    <t>پيشگامان عرصه اموزش رامان صدرا</t>
  </si>
  <si>
    <t>گروه صنعتي ماهان تدبير پارت</t>
  </si>
  <si>
    <t>نسل رویش فرصت ویستا</t>
  </si>
  <si>
    <t>حمایت مالی از واحدهای فناور به شرح ذیل می باشد:</t>
  </si>
  <si>
    <t xml:space="preserve">به پویان امین منتظر </t>
  </si>
  <si>
    <t xml:space="preserve">فناور </t>
  </si>
  <si>
    <t>-4-1-1</t>
  </si>
  <si>
    <t>4-1-1</t>
  </si>
  <si>
    <t>مانده حساب سپرده حمایتی صندوق پژوهش مربوط به مانده وجوه نزد صندوق پژوهش و فناوری استان خراسان رضوی می باشد که طبق قرارداد عاملیت فیمابین جهت پرداخت بسته های حمایتی به واحد های فناور پارک از آن استفاده می شود.</t>
  </si>
  <si>
    <t>27-3-1</t>
  </si>
  <si>
    <t>27-3-2</t>
  </si>
  <si>
    <t>27-3-3</t>
  </si>
  <si>
    <t>001خ1804014</t>
  </si>
  <si>
    <t>اصلاح دارایی های ثابت اول دوره</t>
  </si>
  <si>
    <t>اصلاح سایر دارایی ها اول دوره</t>
  </si>
  <si>
    <t>ارزش خالص اول دوره</t>
  </si>
  <si>
    <t>20</t>
  </si>
  <si>
    <t>شیت درآمد ها</t>
  </si>
  <si>
    <t>تجاری سازی- تربت حیدریه</t>
  </si>
  <si>
    <t>15-17</t>
  </si>
  <si>
    <t>هيأت امناء محترم پارک علم و فناوری خراسان</t>
  </si>
  <si>
    <r>
      <t xml:space="preserve">    </t>
    </r>
    <r>
      <rPr>
        <b/>
        <sz val="12"/>
        <rFont val="B Lotus"/>
        <charset val="178"/>
      </rPr>
      <t>صورتهاي مالي در تاريخ 1399/09/09 به تأييد مسئولين پارك رسيده است.</t>
    </r>
  </si>
  <si>
    <t>پارک علم و فناوری خراسان</t>
  </si>
  <si>
    <t>کلیه درآمد های اختصاصی وصولی و ارسالی به مبلغ 56.206 میلیون ریال در سال مالی 1398 به حساب خزانه واریز شده است.</t>
  </si>
  <si>
    <t>پارک علم و فناوری خراسان رضوی</t>
  </si>
  <si>
    <t xml:space="preserve">به پيوست صورتهاي مالي پارک علم و فناوری خراسان رضوی و یادداشتهای همراه که بر اساس استانداردهای </t>
  </si>
  <si>
    <t>27-3</t>
  </si>
  <si>
    <t xml:space="preserve">عملکرد بر مبنای </t>
  </si>
  <si>
    <t>بانک تجارت حساب 425112554</t>
  </si>
  <si>
    <t>مطابق مجمع عمومی صندوق پژوهش در تیر ماه 1399 به میزان 80 درصد سود سال 98 به مبلغ 39.730 میلیون ریال، سهم پارک به میزان 24.65% آن با مبلغ 9.793 میلیون ریال تعیین شده است. همچنین طبق مصوبه مجمع مزبور حدود 5 درصد از سود تقسیمی به عنوان پاداش اعضای هیات مدیره تایید شده است که سهم پارک از این محل مبلغ 356 میلیون ریال تعیین شده است</t>
  </si>
  <si>
    <t xml:space="preserve"> استهلاک داراييهاي فروخته شده طي سال مالي </t>
  </si>
  <si>
    <t xml:space="preserve">داراييهاي اضافه شده طي سال مالي </t>
  </si>
  <si>
    <t>جدول بهاي تمام شده و استهلاك انباشته داراييهاي ثابت نامشهود به شرح زير است :</t>
  </si>
  <si>
    <t>عاملیت دو صندوق، وجوهی است که صندوق به عنوان عامل پارک به شرکت های فناور عضو پارک از محل وجوه پارک نزد صندوق پرداخت کرده است. در این قرارداد پیگیری بازپرداخت با صندوق پژوهش می باشد و در صورت عدم بازپرداخت شرکت ها، از محل وجوه پارک سوخت خواهد شد. عملکرد این وجوه در سال جاری به شرح زیر قابل تفکیک می باشد:</t>
  </si>
  <si>
    <t xml:space="preserve">9-داراييهاي ثابت نامشهود </t>
  </si>
  <si>
    <t>9-43</t>
  </si>
  <si>
    <t>در سال مورد رسیدگی، دارایی ها به مبلغ 72 میلیارد ریال تحت پوشش بیمه ای قرار گرفته است.</t>
  </si>
  <si>
    <t>فهرست مانده پرداختهای غیرقطعی  سنواتی اعتبارات (هزینه ای، اختصاصی، تملک دارائیهای سرمایه ای و سایرمنابع) 
سال مالی منتهی به 29 اسفندماه 1398</t>
  </si>
  <si>
    <t>30</t>
  </si>
  <si>
    <t>18</t>
  </si>
  <si>
    <t>سود سپرده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</si>
</sst>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164" formatCode="_-* #,##0_-;_-* #,##0\-;_-* &quot;-&quot;_-;_-@_-"/>
    <numFmt numFmtId="165" formatCode="_-* #,##0.00_-;_-* #,##0.00\-;_-* &quot;-&quot;??_-;_-@_-"/>
    <numFmt numFmtId="166" formatCode="%0.0"/>
    <numFmt numFmtId="167" formatCode="##,#00;\(##,#00\)"/>
    <numFmt numFmtId="168" formatCode="#,##0;[Red]\(#,###\)"/>
    <numFmt numFmtId="169" formatCode="_-* #,##0_-;_-* #,##0\-;_-* &quot;-&quot;??_-;_-@_-"/>
    <numFmt numFmtId="170" formatCode="#,##0_-;[Red]\(#,##0\)"/>
    <numFmt numFmtId="171" formatCode="#,##0_-;[Black]\(#,##0\)"/>
    <numFmt numFmtId="172" formatCode="#,##0;[Black]\(#,###\)"/>
    <numFmt numFmtId="173" formatCode="#,##0%;[Black]\(#,###%\)"/>
    <numFmt numFmtId="174" formatCode="#,##0%;[Red]\(#,###%\)"/>
    <numFmt numFmtId="175" formatCode="#,##0\ ;[Red]\(#,##0\)"/>
    <numFmt numFmtId="176" formatCode="_(* #,##0_);_(* \(#,##0\);_(* &quot;-&quot;??_);_(@_)"/>
    <numFmt numFmtId="177" formatCode="###,###,###,###,###.###"/>
    <numFmt numFmtId="178" formatCode="#,##0_ ;\-#,##0\ "/>
    <numFmt numFmtId="179" formatCode="#,##0%;[Black]\(#,###\)"/>
    <numFmt numFmtId="180" formatCode="#,##0_ ;[Red]\-#,##0\ "/>
  </numFmts>
  <fonts count="148">
    <font>
      <sz val="10"/>
      <name val="Arial"/>
    </font>
    <font>
      <sz val="11"/>
      <color theme="1"/>
      <name val="Calibri"/>
      <family val="2"/>
      <charset val="178"/>
      <scheme val="minor"/>
    </font>
    <font>
      <sz val="11"/>
      <color theme="1"/>
      <name val="Calibri"/>
      <family val="2"/>
      <charset val="178"/>
      <scheme val="minor"/>
    </font>
    <font>
      <sz val="8"/>
      <name val="Arial"/>
      <family val="2"/>
    </font>
    <font>
      <sz val="11"/>
      <color indexed="8"/>
      <name val="Arial"/>
      <family val="2"/>
      <charset val="178"/>
    </font>
    <font>
      <sz val="11"/>
      <color indexed="9"/>
      <name val="Arial"/>
      <family val="2"/>
      <charset val="178"/>
    </font>
    <font>
      <sz val="11"/>
      <color indexed="20"/>
      <name val="Arial"/>
      <family val="2"/>
      <charset val="178"/>
    </font>
    <font>
      <b/>
      <sz val="11"/>
      <color indexed="52"/>
      <name val="Arial"/>
      <family val="2"/>
      <charset val="178"/>
    </font>
    <font>
      <b/>
      <sz val="11"/>
      <color indexed="9"/>
      <name val="Arial"/>
      <family val="2"/>
      <charset val="178"/>
    </font>
    <font>
      <sz val="10"/>
      <name val="Arial"/>
      <family val="2"/>
    </font>
    <font>
      <i/>
      <sz val="11"/>
      <color indexed="23"/>
      <name val="Arial"/>
      <family val="2"/>
      <charset val="178"/>
    </font>
    <font>
      <sz val="11"/>
      <color indexed="17"/>
      <name val="Arial"/>
      <family val="2"/>
      <charset val="178"/>
    </font>
    <font>
      <b/>
      <sz val="15"/>
      <color indexed="56"/>
      <name val="Arial"/>
      <family val="2"/>
      <charset val="178"/>
    </font>
    <font>
      <b/>
      <sz val="13"/>
      <color indexed="56"/>
      <name val="Arial"/>
      <family val="2"/>
      <charset val="178"/>
    </font>
    <font>
      <b/>
      <sz val="11"/>
      <color indexed="56"/>
      <name val="Arial"/>
      <family val="2"/>
      <charset val="178"/>
    </font>
    <font>
      <sz val="11"/>
      <color indexed="62"/>
      <name val="Arial"/>
      <family val="2"/>
      <charset val="178"/>
    </font>
    <font>
      <sz val="11"/>
      <color indexed="52"/>
      <name val="Arial"/>
      <family val="2"/>
      <charset val="178"/>
    </font>
    <font>
      <sz val="11"/>
      <color indexed="60"/>
      <name val="Arial"/>
      <family val="2"/>
      <charset val="178"/>
    </font>
    <font>
      <b/>
      <sz val="11"/>
      <color indexed="63"/>
      <name val="Arial"/>
      <family val="2"/>
      <charset val="178"/>
    </font>
    <font>
      <b/>
      <sz val="18"/>
      <color indexed="56"/>
      <name val="Times New Roman"/>
      <family val="2"/>
      <charset val="178"/>
    </font>
    <font>
      <b/>
      <sz val="11"/>
      <color indexed="8"/>
      <name val="Arial"/>
      <family val="2"/>
      <charset val="178"/>
    </font>
    <font>
      <sz val="11"/>
      <color indexed="10"/>
      <name val="Arial"/>
      <family val="2"/>
      <charset val="178"/>
    </font>
    <font>
      <b/>
      <sz val="12"/>
      <name val="B Titr"/>
      <charset val="178"/>
    </font>
    <font>
      <b/>
      <sz val="11"/>
      <name val="B Titr"/>
      <charset val="178"/>
    </font>
    <font>
      <sz val="10"/>
      <name val="Arial"/>
      <family val="2"/>
    </font>
    <font>
      <sz val="12"/>
      <name val="B Titr"/>
      <charset val="178"/>
    </font>
    <font>
      <sz val="11"/>
      <color theme="1"/>
      <name val="Calibri"/>
      <family val="2"/>
    </font>
    <font>
      <sz val="11"/>
      <color rgb="FFFF0000"/>
      <name val="B Nazanin"/>
      <charset val="178"/>
    </font>
    <font>
      <sz val="10"/>
      <name val="Arial"/>
      <family val="2"/>
    </font>
    <font>
      <b/>
      <sz val="14"/>
      <color rgb="FFFF0000"/>
      <name val="B Lotus"/>
      <charset val="178"/>
    </font>
    <font>
      <b/>
      <sz val="12"/>
      <color rgb="FFFF0000"/>
      <name val="B Lotus"/>
      <charset val="178"/>
    </font>
    <font>
      <b/>
      <sz val="11"/>
      <color rgb="FFFF0000"/>
      <name val="B Lotus"/>
      <charset val="178"/>
    </font>
    <font>
      <b/>
      <sz val="12"/>
      <color rgb="FFFF0000"/>
      <name val="B Titr"/>
      <charset val="178"/>
    </font>
    <font>
      <sz val="10"/>
      <color rgb="FFFF0000"/>
      <name val="Arial"/>
      <family val="2"/>
    </font>
    <font>
      <b/>
      <sz val="8"/>
      <color rgb="FFFF0000"/>
      <name val="B Titr"/>
      <charset val="178"/>
    </font>
    <font>
      <b/>
      <sz val="11"/>
      <color rgb="FFFF0000"/>
      <name val="B Mitra"/>
      <charset val="178"/>
    </font>
    <font>
      <sz val="11"/>
      <color rgb="FFFF0000"/>
      <name val="Calibri"/>
      <family val="2"/>
    </font>
    <font>
      <sz val="10"/>
      <color rgb="FFFF0000"/>
      <name val="B Mitra"/>
      <charset val="178"/>
    </font>
    <font>
      <b/>
      <sz val="13"/>
      <color rgb="FFFF0000"/>
      <name val="B Titr"/>
      <charset val="178"/>
    </font>
    <font>
      <b/>
      <sz val="14"/>
      <color rgb="FFFF0000"/>
      <name val="B Titr "/>
      <charset val="178"/>
    </font>
    <font>
      <sz val="14"/>
      <color rgb="FFFF0000"/>
      <name val="B Titr"/>
      <charset val="178"/>
    </font>
    <font>
      <b/>
      <sz val="12"/>
      <color rgb="FFFF0000"/>
      <name val="B Nazanin"/>
      <charset val="178"/>
    </font>
    <font>
      <sz val="9"/>
      <color rgb="FFFF0000"/>
      <name val="B Nazanin"/>
      <charset val="178"/>
    </font>
    <font>
      <b/>
      <sz val="11"/>
      <color rgb="FFFF0000"/>
      <name val="B Nazanin"/>
      <charset val="178"/>
    </font>
    <font>
      <b/>
      <sz val="12"/>
      <name val="B Nazanin"/>
      <charset val="178"/>
    </font>
    <font>
      <sz val="12"/>
      <color rgb="FFFF0000"/>
      <name val="Arial"/>
      <family val="2"/>
    </font>
    <font>
      <b/>
      <sz val="16"/>
      <name val="B Titr"/>
      <charset val="178"/>
    </font>
    <font>
      <b/>
      <sz val="16"/>
      <name val="B Lotus"/>
      <charset val="178"/>
    </font>
    <font>
      <b/>
      <sz val="10"/>
      <color rgb="FFFF0000"/>
      <name val="B Mitra"/>
      <charset val="178"/>
    </font>
    <font>
      <b/>
      <sz val="16"/>
      <color rgb="FFFF0000"/>
      <name val="B Lotus"/>
      <charset val="178"/>
    </font>
    <font>
      <b/>
      <sz val="11"/>
      <name val="B Nazanin"/>
      <charset val="178"/>
    </font>
    <font>
      <b/>
      <sz val="14"/>
      <name val="B Yagut"/>
      <charset val="178"/>
    </font>
    <font>
      <b/>
      <sz val="14"/>
      <color rgb="FFFF0000"/>
      <name val="B Nazanin"/>
      <charset val="178"/>
    </font>
    <font>
      <sz val="12"/>
      <color theme="1"/>
      <name val="B Mitra"/>
      <family val="2"/>
      <charset val="178"/>
    </font>
    <font>
      <b/>
      <sz val="14"/>
      <color rgb="FFFF0000"/>
      <name val="B Yagut"/>
      <charset val="178"/>
    </font>
    <font>
      <b/>
      <sz val="10"/>
      <color rgb="FF0000FF"/>
      <name val="B Mitra"/>
      <charset val="178"/>
    </font>
    <font>
      <b/>
      <sz val="11"/>
      <color theme="1"/>
      <name val="B Mitra"/>
      <charset val="178"/>
    </font>
    <font>
      <b/>
      <sz val="10"/>
      <color theme="1"/>
      <name val="B Mitra"/>
      <charset val="178"/>
    </font>
    <font>
      <sz val="11"/>
      <color rgb="FF0000FF"/>
      <name val="B Homa"/>
      <charset val="178"/>
    </font>
    <font>
      <b/>
      <sz val="11"/>
      <color theme="1"/>
      <name val="B Homa"/>
      <charset val="178"/>
    </font>
    <font>
      <sz val="11"/>
      <name val="B Homa"/>
      <charset val="178"/>
    </font>
    <font>
      <sz val="11"/>
      <color theme="1"/>
      <name val="B Homa"/>
      <charset val="178"/>
    </font>
    <font>
      <sz val="11"/>
      <color rgb="FFFF0000"/>
      <name val="B Homa"/>
      <charset val="178"/>
    </font>
    <font>
      <b/>
      <sz val="14"/>
      <name val="B Homa"/>
      <charset val="178"/>
    </font>
    <font>
      <b/>
      <sz val="10"/>
      <color rgb="FFFF0000"/>
      <name val="B Nazanin"/>
      <charset val="178"/>
    </font>
    <font>
      <sz val="14"/>
      <color rgb="FFFF0000"/>
      <name val="B Mitra"/>
      <charset val="178"/>
    </font>
    <font>
      <sz val="10"/>
      <name val="Arial"/>
      <family val="2"/>
    </font>
    <font>
      <sz val="12"/>
      <color rgb="FFFF0000"/>
      <name val="B Mitra"/>
      <charset val="178"/>
    </font>
    <font>
      <sz val="14"/>
      <name val="B Mitra"/>
      <charset val="178"/>
    </font>
    <font>
      <sz val="11"/>
      <color indexed="8"/>
      <name val="Calibri"/>
      <family val="2"/>
    </font>
    <font>
      <sz val="14"/>
      <color rgb="FFFF0000"/>
      <name val="B Lotus"/>
      <charset val="178"/>
    </font>
    <font>
      <sz val="12"/>
      <color rgb="FFFF0000"/>
      <name val="B Nazanin"/>
      <charset val="178"/>
    </font>
    <font>
      <b/>
      <sz val="14"/>
      <color rgb="FFFF0000"/>
      <name val="B Titr"/>
      <charset val="178"/>
    </font>
    <font>
      <sz val="12"/>
      <color rgb="FFFF0000"/>
      <name val="B Titr"/>
      <charset val="178"/>
    </font>
    <font>
      <sz val="10"/>
      <color rgb="FFFF0000"/>
      <name val="B Titr"/>
      <charset val="178"/>
    </font>
    <font>
      <b/>
      <sz val="11"/>
      <color rgb="FFFF0000"/>
      <name val="B Titr"/>
      <charset val="178"/>
    </font>
    <font>
      <sz val="14"/>
      <color rgb="FFFF0000"/>
      <name val="B Nazanin"/>
      <charset val="178"/>
    </font>
    <font>
      <b/>
      <sz val="16"/>
      <color rgb="FFFF0000"/>
      <name val="Arial"/>
      <family val="2"/>
    </font>
    <font>
      <b/>
      <sz val="8"/>
      <color rgb="FFFF0000"/>
      <name val="B Lotus"/>
      <charset val="178"/>
    </font>
    <font>
      <b/>
      <sz val="10"/>
      <color rgb="FFFF0000"/>
      <name val="B Lotus"/>
      <charset val="178"/>
    </font>
    <font>
      <sz val="12"/>
      <color rgb="FFFF0000"/>
      <name val="B Lotus"/>
      <charset val="178"/>
    </font>
    <font>
      <b/>
      <sz val="10"/>
      <color rgb="FFFF0000"/>
      <name val="Arial"/>
      <family val="2"/>
    </font>
    <font>
      <sz val="11"/>
      <color rgb="FFFF0000"/>
      <name val="B Titr"/>
      <charset val="178"/>
    </font>
    <font>
      <b/>
      <sz val="14"/>
      <name val="B Lotus"/>
      <charset val="178"/>
    </font>
    <font>
      <b/>
      <sz val="13"/>
      <name val="B Lotus"/>
      <charset val="178"/>
    </font>
    <font>
      <b/>
      <sz val="12"/>
      <name val="B Lotus"/>
      <charset val="178"/>
    </font>
    <font>
      <b/>
      <sz val="10"/>
      <name val="B Titr"/>
      <charset val="178"/>
    </font>
    <font>
      <b/>
      <sz val="18"/>
      <name val="B Titr"/>
      <charset val="178"/>
    </font>
    <font>
      <sz val="10"/>
      <name val="B Titr"/>
      <charset val="178"/>
    </font>
    <font>
      <b/>
      <sz val="14"/>
      <name val="B Titr"/>
      <charset val="178"/>
    </font>
    <font>
      <sz val="10"/>
      <name val="B Mitra"/>
      <charset val="178"/>
    </font>
    <font>
      <sz val="14"/>
      <name val="B Lotus"/>
      <charset val="178"/>
    </font>
    <font>
      <sz val="14"/>
      <name val="B Titr"/>
      <charset val="178"/>
    </font>
    <font>
      <sz val="14"/>
      <name val="Arial"/>
      <family val="2"/>
    </font>
    <font>
      <sz val="11"/>
      <name val="B Titr"/>
      <charset val="178"/>
    </font>
    <font>
      <sz val="22"/>
      <color rgb="FFFF0000"/>
      <name val="B Mitra"/>
      <charset val="178"/>
    </font>
    <font>
      <b/>
      <sz val="14"/>
      <name val="B Jadid"/>
      <charset val="178"/>
    </font>
    <font>
      <sz val="16"/>
      <color rgb="FFFF0000"/>
      <name val="B Titr"/>
      <charset val="178"/>
    </font>
    <font>
      <sz val="18"/>
      <color rgb="FFFF0000"/>
      <name val="B Mitra"/>
      <charset val="178"/>
    </font>
    <font>
      <sz val="16"/>
      <color rgb="FFFF0000"/>
      <name val="B Mitra"/>
      <charset val="178"/>
    </font>
    <font>
      <sz val="14"/>
      <color rgb="FFFF0000"/>
      <name val="Arial"/>
      <family val="2"/>
    </font>
    <font>
      <sz val="10"/>
      <name val="Arial"/>
      <family val="2"/>
    </font>
    <font>
      <b/>
      <sz val="8"/>
      <name val="B Titr"/>
      <charset val="178"/>
    </font>
    <font>
      <b/>
      <i/>
      <sz val="14"/>
      <color rgb="FFFF0000"/>
      <name val="B Lotus"/>
      <charset val="178"/>
    </font>
    <font>
      <b/>
      <sz val="22"/>
      <name val="B Titr"/>
      <charset val="178"/>
    </font>
    <font>
      <sz val="22"/>
      <name val="Arial"/>
      <family val="2"/>
    </font>
    <font>
      <b/>
      <sz val="16"/>
      <color rgb="FFFF0000"/>
      <name val="B Titr"/>
      <charset val="178"/>
    </font>
    <font>
      <b/>
      <sz val="14"/>
      <color rgb="FFFF0000"/>
      <name val="B Mitra"/>
      <charset val="178"/>
    </font>
    <font>
      <sz val="10"/>
      <color rgb="FFFF0000"/>
      <name val="B Nazanin"/>
      <charset val="178"/>
    </font>
    <font>
      <sz val="10"/>
      <color rgb="FFFF0000"/>
      <name val="B Koodak"/>
      <charset val="178"/>
    </font>
    <font>
      <sz val="6"/>
      <color rgb="FFFF0000"/>
      <name val="B Mitra"/>
      <charset val="178"/>
    </font>
    <font>
      <sz val="6"/>
      <color rgb="FFFF0000"/>
      <name val="Arial"/>
      <family val="2"/>
    </font>
    <font>
      <sz val="16"/>
      <color rgb="FFFF0000"/>
      <name val="B Lotus"/>
      <charset val="178"/>
    </font>
    <font>
      <b/>
      <sz val="14"/>
      <name val="B Nazanin"/>
      <charset val="178"/>
    </font>
    <font>
      <b/>
      <i/>
      <sz val="14"/>
      <name val="B Lotus"/>
      <charset val="178"/>
    </font>
    <font>
      <b/>
      <sz val="10"/>
      <name val="B Nazanin"/>
      <charset val="178"/>
    </font>
    <font>
      <sz val="11"/>
      <name val="B Nazanin"/>
      <charset val="178"/>
    </font>
    <font>
      <sz val="10"/>
      <name val="B Nazanin"/>
      <charset val="178"/>
    </font>
    <font>
      <sz val="16"/>
      <name val="B Titr"/>
      <charset val="178"/>
    </font>
    <font>
      <b/>
      <sz val="9"/>
      <name val="B Nazanin"/>
      <charset val="178"/>
    </font>
    <font>
      <sz val="14"/>
      <name val="B Nazanin"/>
      <charset val="178"/>
    </font>
    <font>
      <b/>
      <sz val="13"/>
      <name val="B Titr"/>
      <charset val="178"/>
    </font>
    <font>
      <b/>
      <u/>
      <sz val="16"/>
      <name val="B Titr"/>
      <charset val="178"/>
    </font>
    <font>
      <b/>
      <sz val="11"/>
      <name val="B Lotus"/>
      <charset val="178"/>
    </font>
    <font>
      <b/>
      <sz val="14"/>
      <name val="B Mitra"/>
      <charset val="178"/>
    </font>
    <font>
      <sz val="10"/>
      <name val="B Koodak"/>
      <charset val="178"/>
    </font>
    <font>
      <b/>
      <u/>
      <sz val="14"/>
      <name val="B Titr"/>
      <charset val="178"/>
    </font>
    <font>
      <b/>
      <sz val="10"/>
      <name val="B Mitra"/>
      <charset val="178"/>
    </font>
    <font>
      <sz val="12"/>
      <name val="B Nazanin"/>
      <charset val="178"/>
    </font>
    <font>
      <sz val="10"/>
      <color rgb="FF000000"/>
      <name val="Tahoma"/>
      <family val="2"/>
    </font>
    <font>
      <sz val="11"/>
      <color rgb="FF000000"/>
      <name val="Tahoma"/>
      <family val="2"/>
    </font>
    <font>
      <b/>
      <u/>
      <sz val="14"/>
      <name val="B Lotus"/>
      <charset val="178"/>
    </font>
    <font>
      <b/>
      <sz val="12"/>
      <name val="B Mitra"/>
      <charset val="178"/>
    </font>
    <font>
      <b/>
      <sz val="14"/>
      <name val="Arial"/>
      <family val="2"/>
    </font>
    <font>
      <sz val="12"/>
      <name val="B Lotus"/>
      <charset val="178"/>
    </font>
    <font>
      <sz val="12"/>
      <name val="B Koodak"/>
      <charset val="178"/>
    </font>
    <font>
      <b/>
      <sz val="18"/>
      <name val="B Yagut"/>
      <charset val="178"/>
    </font>
    <font>
      <sz val="16"/>
      <name val="B Lotus"/>
      <charset val="178"/>
    </font>
    <font>
      <b/>
      <sz val="14"/>
      <color rgb="FFFF0000"/>
      <name val="Arial"/>
      <family val="2"/>
    </font>
    <font>
      <sz val="11"/>
      <name val="B Lotus"/>
      <charset val="178"/>
    </font>
    <font>
      <b/>
      <sz val="12"/>
      <color theme="1"/>
      <name val="B Lotus"/>
      <charset val="178"/>
    </font>
    <font>
      <b/>
      <sz val="12"/>
      <color theme="1"/>
      <name val="B Nazanin"/>
      <charset val="178"/>
    </font>
    <font>
      <b/>
      <sz val="16"/>
      <name val="B Nazanin"/>
      <charset val="178"/>
    </font>
    <font>
      <sz val="6"/>
      <name val="B Mitra"/>
      <charset val="178"/>
    </font>
    <font>
      <sz val="11"/>
      <name val="B Mitra"/>
      <charset val="178"/>
    </font>
    <font>
      <sz val="9"/>
      <name val="B Koodak"/>
      <charset val="178"/>
    </font>
    <font>
      <b/>
      <sz val="16"/>
      <name val="B Jadid"/>
      <charset val="178"/>
    </font>
    <font>
      <sz val="16"/>
      <name val="Arial"/>
      <family val="2"/>
    </font>
  </fonts>
  <fills count="4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EFF1AF"/>
        <bgColor indexed="64"/>
      </patternFill>
    </fill>
    <fill>
      <patternFill patternType="solid">
        <fgColor indexed="13"/>
        <bgColor indexed="64"/>
      </patternFill>
    </fill>
    <fill>
      <patternFill patternType="solid">
        <fgColor theme="5" tint="0.79998168889431442"/>
        <bgColor indexed="64"/>
      </patternFill>
    </fill>
    <fill>
      <patternFill patternType="solid">
        <fgColor rgb="FFFF0000"/>
        <bgColor indexed="64"/>
      </patternFill>
    </fill>
    <fill>
      <patternFill patternType="solid">
        <fgColor theme="2" tint="-0.249977111117893"/>
        <bgColor indexed="64"/>
      </patternFill>
    </fill>
    <fill>
      <patternFill patternType="solid">
        <fgColor theme="4" tint="0.79998168889431442"/>
        <bgColor theme="4" tint="0.79998168889431442"/>
      </patternFill>
    </fill>
    <fill>
      <patternFill patternType="solid">
        <fgColor theme="6"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FFFFFF"/>
        <bgColor indexed="8"/>
      </patternFill>
    </fill>
    <fill>
      <patternFill patternType="solid">
        <fgColor theme="0" tint="-0.249977111117893"/>
        <bgColor indexed="64"/>
      </patternFill>
    </fill>
    <fill>
      <patternFill patternType="solid">
        <fgColor theme="0"/>
        <bgColor theme="0" tint="-0.14999847407452621"/>
      </patternFill>
    </fill>
  </fills>
  <borders count="3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dotted">
        <color indexed="51"/>
      </bottom>
      <diagonal/>
    </border>
    <border>
      <left/>
      <right/>
      <top/>
      <bottom style="dotted">
        <color indexed="51"/>
      </bottom>
      <diagonal/>
    </border>
    <border>
      <left style="dotted">
        <color indexed="51"/>
      </left>
      <right/>
      <top style="dotted">
        <color indexed="51"/>
      </top>
      <bottom style="dotted">
        <color indexed="51"/>
      </bottom>
      <diagonal/>
    </border>
    <border>
      <left/>
      <right/>
      <top style="dotted">
        <color indexed="51"/>
      </top>
      <bottom style="dotted">
        <color indexed="5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
      <left/>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medium">
        <color indexed="64"/>
      </bottom>
      <diagonal/>
    </border>
    <border>
      <left/>
      <right/>
      <top/>
      <bottom style="thin">
        <color theme="4" tint="0.39997558519241921"/>
      </bottom>
      <diagonal/>
    </border>
    <border>
      <left style="thin">
        <color indexed="64"/>
      </left>
      <right style="thin">
        <color indexed="64"/>
      </right>
      <top style="thin">
        <color indexed="64"/>
      </top>
      <bottom style="double">
        <color indexed="64"/>
      </bottom>
      <diagonal/>
    </border>
    <border>
      <left style="thin">
        <color rgb="FFC0C0C0"/>
      </left>
      <right style="thin">
        <color rgb="FFC0C0C0"/>
      </right>
      <top style="thin">
        <color rgb="FFC0C0C0"/>
      </top>
      <bottom style="thin">
        <color rgb="FFC0C0C0"/>
      </bottom>
      <diagonal/>
    </border>
  </borders>
  <cellStyleXfs count="63">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9" fillId="0" borderId="0"/>
    <xf numFmtId="0" fontId="9" fillId="0" borderId="0"/>
    <xf numFmtId="0" fontId="24" fillId="0" borderId="0"/>
    <xf numFmtId="0" fontId="26" fillId="0" borderId="0"/>
    <xf numFmtId="0" fontId="9" fillId="0" borderId="0"/>
    <xf numFmtId="0" fontId="9" fillId="0" borderId="0"/>
    <xf numFmtId="0" fontId="9" fillId="0" borderId="0"/>
    <xf numFmtId="0" fontId="9" fillId="23" borderId="7" applyNumberFormat="0" applyFont="0" applyAlignment="0" applyProtection="0"/>
    <xf numFmtId="0" fontId="18" fillId="20" borderId="8" applyNumberFormat="0" applyAlignment="0" applyProtection="0"/>
    <xf numFmtId="9" fontId="9" fillId="0" borderId="0" applyFon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165" fontId="28"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0" fontId="9" fillId="0" borderId="0"/>
    <xf numFmtId="165" fontId="2" fillId="0" borderId="0" applyFont="0" applyFill="0" applyBorder="0" applyAlignment="0" applyProtection="0"/>
    <xf numFmtId="0" fontId="9" fillId="0" borderId="0"/>
    <xf numFmtId="0" fontId="53" fillId="0" borderId="0"/>
    <xf numFmtId="0" fontId="1" fillId="0" borderId="0"/>
    <xf numFmtId="0" fontId="66" fillId="0" borderId="0"/>
    <xf numFmtId="164" fontId="9" fillId="0" borderId="0" applyFont="0" applyFill="0" applyBorder="0" applyAlignment="0" applyProtection="0"/>
    <xf numFmtId="0" fontId="69" fillId="0" borderId="0"/>
    <xf numFmtId="9" fontId="101" fillId="0" borderId="0" applyFont="0" applyFill="0" applyBorder="0" applyAlignment="0" applyProtection="0"/>
  </cellStyleXfs>
  <cellXfs count="915">
    <xf numFmtId="0" fontId="0" fillId="0" borderId="0" xfId="0"/>
    <xf numFmtId="0" fontId="31" fillId="0" borderId="0" xfId="43" applyFont="1" applyAlignment="1">
      <alignment vertical="center"/>
    </xf>
    <xf numFmtId="166" fontId="31" fillId="0" borderId="0" xfId="43" applyNumberFormat="1" applyFont="1" applyAlignment="1">
      <alignment horizontal="right" vertical="center"/>
    </xf>
    <xf numFmtId="49" fontId="31" fillId="0" borderId="0" xfId="43" applyNumberFormat="1" applyFont="1" applyAlignment="1">
      <alignment horizontal="left" vertical="center"/>
    </xf>
    <xf numFmtId="168" fontId="31" fillId="0" borderId="0" xfId="43" applyNumberFormat="1" applyFont="1" applyAlignment="1">
      <alignment horizontal="center" vertical="center"/>
    </xf>
    <xf numFmtId="3" fontId="31" fillId="0" borderId="0" xfId="43" applyNumberFormat="1" applyFont="1" applyAlignment="1">
      <alignment horizontal="center" vertical="center"/>
    </xf>
    <xf numFmtId="3" fontId="31" fillId="0" borderId="0" xfId="43" applyNumberFormat="1" applyFont="1" applyAlignment="1">
      <alignment vertical="center"/>
    </xf>
    <xf numFmtId="0" fontId="29" fillId="0" borderId="0" xfId="37" applyFont="1" applyAlignment="1">
      <alignment vertical="center"/>
    </xf>
    <xf numFmtId="0" fontId="33" fillId="0" borderId="0" xfId="0" applyFont="1"/>
    <xf numFmtId="3" fontId="35" fillId="0" borderId="0" xfId="40" applyNumberFormat="1" applyFont="1"/>
    <xf numFmtId="0" fontId="35" fillId="0" borderId="0" xfId="40" applyFont="1"/>
    <xf numFmtId="3" fontId="34" fillId="0" borderId="0" xfId="40" applyNumberFormat="1" applyFont="1"/>
    <xf numFmtId="0" fontId="36" fillId="0" borderId="0" xfId="40" applyFont="1"/>
    <xf numFmtId="0" fontId="39" fillId="0" borderId="0" xfId="40" applyFont="1"/>
    <xf numFmtId="164" fontId="27" fillId="0" borderId="0" xfId="0" applyNumberFormat="1" applyFont="1" applyAlignment="1">
      <alignment horizontal="center" vertical="center"/>
    </xf>
    <xf numFmtId="164" fontId="31" fillId="0" borderId="0" xfId="43" applyNumberFormat="1" applyFont="1" applyAlignment="1">
      <alignment vertical="center"/>
    </xf>
    <xf numFmtId="0" fontId="42" fillId="0" borderId="0" xfId="0" applyFont="1" applyAlignment="1">
      <alignment vertical="center"/>
    </xf>
    <xf numFmtId="0" fontId="27" fillId="0" borderId="0" xfId="0" applyFont="1" applyAlignment="1">
      <alignment vertical="center"/>
    </xf>
    <xf numFmtId="0" fontId="27" fillId="0" borderId="0" xfId="0" applyFont="1" applyAlignment="1">
      <alignment horizontal="center" vertical="center"/>
    </xf>
    <xf numFmtId="0" fontId="29" fillId="0" borderId="0" xfId="51" applyFont="1"/>
    <xf numFmtId="3" fontId="29" fillId="0" borderId="0" xfId="51" applyNumberFormat="1" applyFont="1"/>
    <xf numFmtId="0" fontId="33" fillId="0" borderId="0" xfId="51" applyFont="1"/>
    <xf numFmtId="0" fontId="33" fillId="0" borderId="0" xfId="51" applyFont="1" applyAlignment="1">
      <alignment wrapText="1"/>
    </xf>
    <xf numFmtId="3" fontId="33" fillId="0" borderId="0" xfId="51" applyNumberFormat="1" applyFont="1"/>
    <xf numFmtId="0" fontId="33" fillId="0" borderId="0" xfId="51" applyFont="1" applyAlignment="1">
      <alignment horizontal="left"/>
    </xf>
    <xf numFmtId="3" fontId="45" fillId="0" borderId="0" xfId="51" applyNumberFormat="1" applyFont="1"/>
    <xf numFmtId="0" fontId="35" fillId="0" borderId="0" xfId="51" applyFont="1"/>
    <xf numFmtId="0" fontId="37" fillId="0" borderId="0" xfId="51" applyFont="1" applyAlignment="1">
      <alignment horizontal="center" readingOrder="2"/>
    </xf>
    <xf numFmtId="170" fontId="37" fillId="0" borderId="0" xfId="51" applyNumberFormat="1" applyFont="1" applyAlignment="1">
      <alignment horizontal="center" readingOrder="2"/>
    </xf>
    <xf numFmtId="0" fontId="37" fillId="0" borderId="0" xfId="51" applyFont="1"/>
    <xf numFmtId="3" fontId="37" fillId="0" borderId="0" xfId="51" applyNumberFormat="1" applyFont="1" applyAlignment="1">
      <alignment horizontal="center" readingOrder="2"/>
    </xf>
    <xf numFmtId="0" fontId="37" fillId="0" borderId="0" xfId="51" applyFont="1" applyAlignment="1">
      <alignment horizontal="center"/>
    </xf>
    <xf numFmtId="170" fontId="37" fillId="0" borderId="0" xfId="51" applyNumberFormat="1" applyFont="1" applyAlignment="1">
      <alignment horizontal="center"/>
    </xf>
    <xf numFmtId="0" fontId="29" fillId="0" borderId="0" xfId="37" applyFont="1" applyAlignment="1">
      <alignment vertical="center" readingOrder="2"/>
    </xf>
    <xf numFmtId="3" fontId="29" fillId="0" borderId="0" xfId="37" applyNumberFormat="1" applyFont="1" applyAlignment="1">
      <alignment horizontal="center" vertical="center"/>
    </xf>
    <xf numFmtId="1" fontId="29" fillId="0" borderId="0" xfId="37" applyNumberFormat="1" applyFont="1" applyAlignment="1">
      <alignment horizontal="center" vertical="center" readingOrder="2"/>
    </xf>
    <xf numFmtId="3" fontId="54" fillId="0" borderId="0" xfId="0" applyNumberFormat="1" applyFont="1" applyAlignment="1">
      <alignment horizontal="right" vertical="center"/>
    </xf>
    <xf numFmtId="0" fontId="29" fillId="0" borderId="0" xfId="0" applyFont="1" applyAlignment="1">
      <alignment vertical="center"/>
    </xf>
    <xf numFmtId="0" fontId="51" fillId="0" borderId="0" xfId="0" applyFont="1" applyAlignment="1">
      <alignment horizontal="right" vertical="center"/>
    </xf>
    <xf numFmtId="0" fontId="56" fillId="0" borderId="0" xfId="0" applyFont="1"/>
    <xf numFmtId="0" fontId="57" fillId="0" borderId="12" xfId="0" applyFont="1" applyBorder="1"/>
    <xf numFmtId="177" fontId="57" fillId="0" borderId="12" xfId="0" applyNumberFormat="1" applyFont="1" applyBorder="1"/>
    <xf numFmtId="0" fontId="56" fillId="0" borderId="12" xfId="0" applyFont="1" applyBorder="1"/>
    <xf numFmtId="0" fontId="55" fillId="0" borderId="12" xfId="0" applyFont="1" applyBorder="1" applyAlignment="1">
      <alignment horizontal="center"/>
    </xf>
    <xf numFmtId="0" fontId="55" fillId="0" borderId="12" xfId="0" applyFont="1" applyBorder="1" applyAlignment="1">
      <alignment horizontal="center" vertical="center"/>
    </xf>
    <xf numFmtId="177" fontId="55" fillId="0" borderId="12" xfId="0" applyNumberFormat="1" applyFont="1" applyBorder="1" applyAlignment="1">
      <alignment horizontal="center"/>
    </xf>
    <xf numFmtId="177" fontId="58" fillId="0" borderId="12" xfId="0" applyNumberFormat="1" applyFont="1" applyBorder="1" applyAlignment="1">
      <alignment horizontal="center"/>
    </xf>
    <xf numFmtId="0" fontId="59" fillId="32" borderId="30" xfId="0" applyFont="1" applyFill="1" applyBorder="1"/>
    <xf numFmtId="169" fontId="59" fillId="32" borderId="30" xfId="50" applyNumberFormat="1" applyFont="1" applyFill="1" applyBorder="1"/>
    <xf numFmtId="0" fontId="57" fillId="0" borderId="12" xfId="0" applyFont="1" applyBorder="1" applyAlignment="1">
      <alignment vertical="center"/>
    </xf>
    <xf numFmtId="0" fontId="60" fillId="0" borderId="12" xfId="0" applyFont="1" applyBorder="1" applyAlignment="1">
      <alignment horizontal="right" vertical="center"/>
    </xf>
    <xf numFmtId="0" fontId="61" fillId="0" borderId="0" xfId="0" applyFont="1" applyAlignment="1">
      <alignment horizontal="right"/>
    </xf>
    <xf numFmtId="169" fontId="61" fillId="0" borderId="0" xfId="50" applyNumberFormat="1" applyFont="1"/>
    <xf numFmtId="49" fontId="60" fillId="0" borderId="12" xfId="0" applyNumberFormat="1" applyFont="1" applyBorder="1" applyAlignment="1">
      <alignment horizontal="right" vertical="center"/>
    </xf>
    <xf numFmtId="0" fontId="60" fillId="0" borderId="12" xfId="0" applyFont="1" applyBorder="1" applyAlignment="1">
      <alignment horizontal="right" vertical="center" readingOrder="2"/>
    </xf>
    <xf numFmtId="0" fontId="57" fillId="31" borderId="12" xfId="0" applyFont="1" applyFill="1" applyBorder="1" applyAlignment="1">
      <alignment vertical="center"/>
    </xf>
    <xf numFmtId="0" fontId="61" fillId="0" borderId="12" xfId="0" applyFont="1" applyBorder="1" applyAlignment="1">
      <alignment horizontal="right"/>
    </xf>
    <xf numFmtId="0" fontId="62" fillId="0" borderId="0" xfId="0" applyFont="1" applyAlignment="1">
      <alignment horizontal="right"/>
    </xf>
    <xf numFmtId="169" fontId="62" fillId="0" borderId="0" xfId="50" applyNumberFormat="1" applyFont="1"/>
    <xf numFmtId="0" fontId="57" fillId="33" borderId="12" xfId="0" applyFont="1" applyFill="1" applyBorder="1" applyAlignment="1">
      <alignment vertical="center"/>
    </xf>
    <xf numFmtId="0" fontId="57" fillId="34" borderId="12" xfId="0" applyFont="1" applyFill="1" applyBorder="1" applyAlignment="1">
      <alignment vertical="center"/>
    </xf>
    <xf numFmtId="0" fontId="59" fillId="0" borderId="0" xfId="0" applyFont="1"/>
    <xf numFmtId="169" fontId="59" fillId="0" borderId="0" xfId="50" applyNumberFormat="1" applyFont="1"/>
    <xf numFmtId="0" fontId="57" fillId="35" borderId="12" xfId="0" applyFont="1" applyFill="1" applyBorder="1" applyAlignment="1">
      <alignment vertical="center"/>
    </xf>
    <xf numFmtId="0" fontId="57" fillId="36" borderId="12" xfId="0" applyFont="1" applyFill="1" applyBorder="1" applyAlignment="1">
      <alignment vertical="center"/>
    </xf>
    <xf numFmtId="0" fontId="60" fillId="0" borderId="12" xfId="0" applyFont="1" applyBorder="1" applyAlignment="1">
      <alignment horizontal="right" shrinkToFit="1" readingOrder="2"/>
    </xf>
    <xf numFmtId="166" fontId="60" fillId="0" borderId="12" xfId="54" applyNumberFormat="1" applyFont="1" applyBorder="1" applyAlignment="1">
      <alignment horizontal="center" vertical="center"/>
    </xf>
    <xf numFmtId="166" fontId="60" fillId="0" borderId="12" xfId="54" applyNumberFormat="1" applyFont="1" applyBorder="1" applyAlignment="1">
      <alignment horizontal="right" vertical="center"/>
    </xf>
    <xf numFmtId="169" fontId="63" fillId="0" borderId="0" xfId="50" applyNumberFormat="1" applyFont="1" applyBorder="1" applyAlignment="1">
      <alignment horizontal="right" vertical="center"/>
    </xf>
    <xf numFmtId="0" fontId="57" fillId="0" borderId="12" xfId="0" applyFont="1" applyBorder="1" applyAlignment="1">
      <alignment horizontal="right" vertical="center"/>
    </xf>
    <xf numFmtId="0" fontId="57" fillId="30" borderId="12" xfId="0" applyFont="1" applyFill="1" applyBorder="1" applyAlignment="1">
      <alignment horizontal="right" vertical="center"/>
    </xf>
    <xf numFmtId="3" fontId="56" fillId="30" borderId="12" xfId="0" applyNumberFormat="1" applyFont="1" applyFill="1" applyBorder="1"/>
    <xf numFmtId="0" fontId="61" fillId="30" borderId="12" xfId="0" applyFont="1" applyFill="1" applyBorder="1"/>
    <xf numFmtId="0" fontId="56" fillId="0" borderId="0" xfId="0" applyFont="1" applyAlignment="1">
      <alignment vertical="center"/>
    </xf>
    <xf numFmtId="177" fontId="56" fillId="0" borderId="0" xfId="0" applyNumberFormat="1" applyFont="1"/>
    <xf numFmtId="0" fontId="61" fillId="0" borderId="0" xfId="0" applyFont="1"/>
    <xf numFmtId="169" fontId="56" fillId="29" borderId="0" xfId="50" applyNumberFormat="1" applyFont="1" applyFill="1"/>
    <xf numFmtId="169" fontId="56" fillId="0" borderId="0" xfId="50" applyNumberFormat="1" applyFont="1"/>
    <xf numFmtId="0" fontId="65" fillId="0" borderId="0" xfId="0" applyFont="1"/>
    <xf numFmtId="3" fontId="61" fillId="0" borderId="0" xfId="0" applyNumberFormat="1" applyFont="1"/>
    <xf numFmtId="169" fontId="56" fillId="0" borderId="0" xfId="50" applyNumberFormat="1" applyFont="1" applyAlignment="1">
      <alignment vertical="center"/>
    </xf>
    <xf numFmtId="177" fontId="56" fillId="0" borderId="12" xfId="0" applyNumberFormat="1" applyFont="1" applyBorder="1"/>
    <xf numFmtId="0" fontId="67" fillId="0" borderId="0" xfId="56" applyFont="1" applyAlignment="1">
      <alignment horizontal="center" vertical="center"/>
    </xf>
    <xf numFmtId="0" fontId="37" fillId="0" borderId="0" xfId="56" applyFont="1" applyAlignment="1">
      <alignment horizontal="center" vertical="center"/>
    </xf>
    <xf numFmtId="0" fontId="37" fillId="0" borderId="0" xfId="56" applyFont="1" applyAlignment="1">
      <alignment horizontal="center" vertical="center" wrapText="1"/>
    </xf>
    <xf numFmtId="3" fontId="35" fillId="0" borderId="0" xfId="61" applyNumberFormat="1" applyFont="1"/>
    <xf numFmtId="3" fontId="35" fillId="0" borderId="0" xfId="61" applyNumberFormat="1" applyFont="1" applyAlignment="1">
      <alignment horizontal="center" vertical="center"/>
    </xf>
    <xf numFmtId="0" fontId="36" fillId="0" borderId="0" xfId="61" applyFont="1"/>
    <xf numFmtId="3" fontId="36" fillId="0" borderId="0" xfId="61" applyNumberFormat="1" applyFont="1"/>
    <xf numFmtId="3" fontId="48" fillId="0" borderId="0" xfId="54" applyNumberFormat="1" applyFont="1" applyAlignment="1">
      <alignment horizontal="center" vertical="center" wrapText="1" readingOrder="2"/>
    </xf>
    <xf numFmtId="0" fontId="68" fillId="0" borderId="0" xfId="0" applyFont="1"/>
    <xf numFmtId="0" fontId="70" fillId="0" borderId="0" xfId="0" applyFont="1" applyAlignment="1">
      <alignment vertical="center"/>
    </xf>
    <xf numFmtId="167" fontId="70" fillId="0" borderId="0" xfId="0" applyNumberFormat="1" applyFont="1" applyAlignment="1">
      <alignment horizontal="center" vertical="center"/>
    </xf>
    <xf numFmtId="0" fontId="29" fillId="0" borderId="0" xfId="39" applyFont="1" applyAlignment="1">
      <alignment vertical="center"/>
    </xf>
    <xf numFmtId="0" fontId="29" fillId="0" borderId="17" xfId="39" applyFont="1" applyBorder="1" applyAlignment="1">
      <alignment vertical="center"/>
    </xf>
    <xf numFmtId="49" fontId="30" fillId="0" borderId="17" xfId="39" applyNumberFormat="1" applyFont="1" applyBorder="1" applyAlignment="1">
      <alignment horizontal="center" vertical="center" readingOrder="2"/>
    </xf>
    <xf numFmtId="0" fontId="30" fillId="0" borderId="0" xfId="39" applyFont="1" applyAlignment="1">
      <alignment horizontal="center" vertical="center" readingOrder="2"/>
    </xf>
    <xf numFmtId="0" fontId="33" fillId="0" borderId="0" xfId="51" applyFont="1" applyAlignment="1">
      <alignment horizontal="center"/>
    </xf>
    <xf numFmtId="168" fontId="31" fillId="0" borderId="0" xfId="43" applyNumberFormat="1" applyFont="1" applyAlignment="1">
      <alignment vertical="center"/>
    </xf>
    <xf numFmtId="3" fontId="29" fillId="0" borderId="0" xfId="43" applyNumberFormat="1" applyFont="1" applyAlignment="1">
      <alignment vertical="center"/>
    </xf>
    <xf numFmtId="168" fontId="30" fillId="0" borderId="0" xfId="43" applyNumberFormat="1" applyFont="1" applyAlignment="1">
      <alignment vertical="center"/>
    </xf>
    <xf numFmtId="3" fontId="49" fillId="0" borderId="0" xfId="43" applyNumberFormat="1" applyFont="1" applyAlignment="1">
      <alignment vertical="center"/>
    </xf>
    <xf numFmtId="168" fontId="49" fillId="0" borderId="0" xfId="43" applyNumberFormat="1" applyFont="1" applyAlignment="1">
      <alignment vertical="center"/>
    </xf>
    <xf numFmtId="0" fontId="77" fillId="0" borderId="0" xfId="54" applyFont="1"/>
    <xf numFmtId="0" fontId="33" fillId="0" borderId="0" xfId="54" applyFont="1"/>
    <xf numFmtId="3" fontId="49" fillId="0" borderId="0" xfId="54" applyNumberFormat="1" applyFont="1" applyAlignment="1">
      <alignment horizontal="center"/>
    </xf>
    <xf numFmtId="3" fontId="49" fillId="0" borderId="0" xfId="54" applyNumberFormat="1" applyFont="1" applyAlignment="1">
      <alignment horizontal="center" vertical="center"/>
    </xf>
    <xf numFmtId="0" fontId="49" fillId="0" borderId="0" xfId="54" applyFont="1" applyAlignment="1">
      <alignment horizontal="center" vertical="center" readingOrder="2"/>
    </xf>
    <xf numFmtId="3" fontId="49" fillId="0" borderId="0" xfId="54" applyNumberFormat="1" applyFont="1" applyAlignment="1">
      <alignment horizontal="center" vertical="center" readingOrder="2"/>
    </xf>
    <xf numFmtId="9" fontId="49" fillId="24" borderId="0" xfId="54" applyNumberFormat="1" applyFont="1" applyFill="1" applyAlignment="1">
      <alignment horizontal="center" vertical="center" readingOrder="2"/>
    </xf>
    <xf numFmtId="0" fontId="71" fillId="0" borderId="0" xfId="54" applyFont="1"/>
    <xf numFmtId="49" fontId="31" fillId="0" borderId="0" xfId="54" applyNumberFormat="1" applyFont="1" applyAlignment="1">
      <alignment vertical="center"/>
    </xf>
    <xf numFmtId="166" fontId="31" fillId="0" borderId="0" xfId="54" applyNumberFormat="1" applyFont="1" applyAlignment="1">
      <alignment horizontal="right" vertical="center"/>
    </xf>
    <xf numFmtId="49" fontId="31" fillId="0" borderId="0" xfId="54" applyNumberFormat="1" applyFont="1" applyAlignment="1">
      <alignment horizontal="center" vertical="center"/>
    </xf>
    <xf numFmtId="3" fontId="31" fillId="0" borderId="0" xfId="54" applyNumberFormat="1" applyFont="1" applyAlignment="1">
      <alignment horizontal="center"/>
    </xf>
    <xf numFmtId="3" fontId="31" fillId="0" borderId="0" xfId="54" applyNumberFormat="1" applyFont="1" applyAlignment="1">
      <alignment horizontal="center" vertical="center"/>
    </xf>
    <xf numFmtId="1" fontId="78" fillId="0" borderId="0" xfId="46" applyNumberFormat="1" applyFont="1" applyBorder="1" applyAlignment="1">
      <alignment horizontal="center" vertical="center"/>
    </xf>
    <xf numFmtId="3" fontId="75" fillId="0" borderId="0" xfId="54" applyNumberFormat="1" applyFont="1" applyAlignment="1">
      <alignment horizontal="center" vertical="center" wrapText="1" readingOrder="2"/>
    </xf>
    <xf numFmtId="3" fontId="41" fillId="0" borderId="0" xfId="54" applyNumberFormat="1" applyFont="1" applyAlignment="1">
      <alignment horizontal="center" vertical="center" wrapText="1" readingOrder="2"/>
    </xf>
    <xf numFmtId="0" fontId="41" fillId="0" borderId="0" xfId="54" applyFont="1"/>
    <xf numFmtId="3" fontId="31" fillId="0" borderId="0" xfId="54" applyNumberFormat="1" applyFont="1" applyAlignment="1">
      <alignment horizontal="center" vertical="center" wrapText="1" readingOrder="2"/>
    </xf>
    <xf numFmtId="0" fontId="81" fillId="0" borderId="0" xfId="54" applyFont="1"/>
    <xf numFmtId="3" fontId="79" fillId="0" borderId="0" xfId="54" applyNumberFormat="1" applyFont="1" applyAlignment="1">
      <alignment horizontal="center" vertical="center" wrapText="1" readingOrder="2"/>
    </xf>
    <xf numFmtId="3" fontId="43" fillId="0" borderId="0" xfId="54" applyNumberFormat="1" applyFont="1" applyAlignment="1">
      <alignment horizontal="center" vertical="center" wrapText="1"/>
    </xf>
    <xf numFmtId="3" fontId="32" fillId="0" borderId="0" xfId="54" applyNumberFormat="1" applyFont="1" applyAlignment="1">
      <alignment horizontal="center" vertical="center" wrapText="1" readingOrder="2"/>
    </xf>
    <xf numFmtId="3" fontId="41" fillId="0" borderId="0" xfId="54" applyNumberFormat="1" applyFont="1" applyAlignment="1">
      <alignment horizontal="center" vertical="center" wrapText="1"/>
    </xf>
    <xf numFmtId="0" fontId="72" fillId="0" borderId="0" xfId="52" applyFont="1" applyAlignment="1">
      <alignment horizontal="center" readingOrder="2"/>
    </xf>
    <xf numFmtId="0" fontId="40" fillId="0" borderId="0" xfId="52" applyFont="1" applyAlignment="1">
      <alignment horizontal="center" readingOrder="2"/>
    </xf>
    <xf numFmtId="0" fontId="76" fillId="0" borderId="0" xfId="0" applyFont="1" applyAlignment="1">
      <alignment vertical="center"/>
    </xf>
    <xf numFmtId="0" fontId="80" fillId="0" borderId="0" xfId="0" applyFont="1" applyAlignment="1">
      <alignment vertical="center"/>
    </xf>
    <xf numFmtId="3" fontId="70" fillId="0" borderId="0" xfId="0" applyNumberFormat="1" applyFont="1" applyAlignment="1">
      <alignment horizontal="center" vertical="center"/>
    </xf>
    <xf numFmtId="3" fontId="82" fillId="0" borderId="0" xfId="0" applyNumberFormat="1" applyFont="1" applyAlignment="1">
      <alignment horizontal="center" vertical="center"/>
    </xf>
    <xf numFmtId="3" fontId="27" fillId="0" borderId="0" xfId="0" applyNumberFormat="1" applyFont="1" applyAlignment="1">
      <alignment horizontal="center" vertical="center"/>
    </xf>
    <xf numFmtId="3" fontId="80" fillId="0" borderId="0" xfId="0" applyNumberFormat="1" applyFont="1" applyAlignment="1">
      <alignment horizontal="center" vertical="center"/>
    </xf>
    <xf numFmtId="3" fontId="64" fillId="0" borderId="0" xfId="37" applyNumberFormat="1" applyFont="1" applyAlignment="1">
      <alignment horizontal="center" vertical="center"/>
    </xf>
    <xf numFmtId="3" fontId="27" fillId="0" borderId="0" xfId="37" applyNumberFormat="1" applyFont="1" applyAlignment="1">
      <alignment horizontal="center" vertical="center"/>
    </xf>
    <xf numFmtId="0" fontId="27" fillId="0" borderId="0" xfId="37" applyFont="1" applyAlignment="1">
      <alignment horizontal="center" vertical="center"/>
    </xf>
    <xf numFmtId="0" fontId="64" fillId="0" borderId="0" xfId="37" applyFont="1" applyAlignment="1">
      <alignment horizontal="right" vertical="center"/>
    </xf>
    <xf numFmtId="3" fontId="83" fillId="0" borderId="0" xfId="37" applyNumberFormat="1" applyFont="1" applyAlignment="1">
      <alignment horizontal="center" vertical="center"/>
    </xf>
    <xf numFmtId="0" fontId="83" fillId="0" borderId="0" xfId="37" applyFont="1" applyAlignment="1">
      <alignment vertical="center"/>
    </xf>
    <xf numFmtId="0" fontId="83" fillId="0" borderId="0" xfId="37" applyFont="1" applyAlignment="1">
      <alignment horizontal="center" vertical="center"/>
    </xf>
    <xf numFmtId="0" fontId="86" fillId="0" borderId="10" xfId="37" applyFont="1" applyBorder="1" applyAlignment="1">
      <alignment horizontal="center" vertical="center" wrapText="1"/>
    </xf>
    <xf numFmtId="169" fontId="31" fillId="0" borderId="0" xfId="50" applyNumberFormat="1" applyFont="1" applyBorder="1" applyAlignment="1">
      <alignment horizontal="right" vertical="center"/>
    </xf>
    <xf numFmtId="3" fontId="44" fillId="27" borderId="12" xfId="51" applyNumberFormat="1" applyFont="1" applyFill="1" applyBorder="1" applyAlignment="1">
      <alignment horizontal="center" vertical="center" shrinkToFit="1" readingOrder="2"/>
    </xf>
    <xf numFmtId="0" fontId="44" fillId="0" borderId="12" xfId="51" applyFont="1" applyBorder="1" applyAlignment="1">
      <alignment horizontal="center" vertical="center" readingOrder="2"/>
    </xf>
    <xf numFmtId="0" fontId="44" fillId="0" borderId="12" xfId="51" applyFont="1" applyBorder="1" applyAlignment="1">
      <alignment horizontal="center" vertical="center" wrapText="1" readingOrder="2"/>
    </xf>
    <xf numFmtId="3" fontId="44" fillId="0" borderId="12" xfId="51" applyNumberFormat="1" applyFont="1" applyBorder="1" applyAlignment="1">
      <alignment horizontal="center" vertical="center" shrinkToFit="1" readingOrder="2"/>
    </xf>
    <xf numFmtId="3" fontId="44" fillId="27" borderId="12" xfId="51" applyNumberFormat="1" applyFont="1" applyFill="1" applyBorder="1" applyAlignment="1">
      <alignment horizontal="center" vertical="center" readingOrder="2"/>
    </xf>
    <xf numFmtId="0" fontId="88" fillId="0" borderId="0" xfId="51" applyFont="1"/>
    <xf numFmtId="0" fontId="9" fillId="0" borderId="0" xfId="51"/>
    <xf numFmtId="0" fontId="22" fillId="0" borderId="0" xfId="51" applyFont="1"/>
    <xf numFmtId="0" fontId="22" fillId="0" borderId="0" xfId="51" applyFont="1" applyAlignment="1">
      <alignment horizontal="center" vertical="center"/>
    </xf>
    <xf numFmtId="169" fontId="33" fillId="0" borderId="0" xfId="53" applyNumberFormat="1" applyFont="1"/>
    <xf numFmtId="0" fontId="93" fillId="0" borderId="0" xfId="0" applyFont="1"/>
    <xf numFmtId="170" fontId="95" fillId="0" borderId="0" xfId="51" applyNumberFormat="1" applyFont="1" applyAlignment="1">
      <alignment horizontal="center" readingOrder="2"/>
    </xf>
    <xf numFmtId="3" fontId="33" fillId="0" borderId="0" xfId="51" applyNumberFormat="1" applyFont="1" applyAlignment="1">
      <alignment wrapText="1"/>
    </xf>
    <xf numFmtId="3" fontId="52" fillId="0" borderId="0" xfId="37" applyNumberFormat="1" applyFont="1" applyAlignment="1">
      <alignment horizontal="center" vertical="center"/>
    </xf>
    <xf numFmtId="0" fontId="89" fillId="0" borderId="10" xfId="37" applyFont="1" applyBorder="1" applyAlignment="1">
      <alignment horizontal="center" vertical="center" wrapText="1"/>
    </xf>
    <xf numFmtId="0" fontId="89" fillId="0" borderId="0" xfId="37" applyFont="1" applyAlignment="1">
      <alignment vertical="center"/>
    </xf>
    <xf numFmtId="0" fontId="96" fillId="0" borderId="0" xfId="37" applyFont="1" applyAlignment="1">
      <alignment vertical="center"/>
    </xf>
    <xf numFmtId="0" fontId="93" fillId="0" borderId="0" xfId="37" applyFont="1"/>
    <xf numFmtId="0" fontId="83" fillId="0" borderId="10" xfId="37" applyFont="1" applyBorder="1" applyAlignment="1">
      <alignment horizontal="center" vertical="center"/>
    </xf>
    <xf numFmtId="0" fontId="92" fillId="0" borderId="10" xfId="37" applyFont="1" applyBorder="1" applyAlignment="1">
      <alignment horizontal="center" vertical="center" wrapText="1"/>
    </xf>
    <xf numFmtId="0" fontId="92" fillId="0" borderId="0" xfId="37" applyFont="1" applyAlignment="1">
      <alignment horizontal="center" vertical="center" wrapText="1"/>
    </xf>
    <xf numFmtId="0" fontId="89" fillId="0" borderId="0" xfId="37" applyFont="1" applyAlignment="1">
      <alignment horizontal="center" vertical="center" wrapText="1"/>
    </xf>
    <xf numFmtId="168" fontId="83" fillId="0" borderId="0" xfId="37" applyNumberFormat="1" applyFont="1" applyAlignment="1">
      <alignment horizontal="center" vertical="center"/>
    </xf>
    <xf numFmtId="171" fontId="83" fillId="0" borderId="10" xfId="37" applyNumberFormat="1" applyFont="1" applyBorder="1" applyAlignment="1">
      <alignment horizontal="center" vertical="center"/>
    </xf>
    <xf numFmtId="171" fontId="83" fillId="0" borderId="0" xfId="37" applyNumberFormat="1" applyFont="1" applyAlignment="1">
      <alignment horizontal="center" vertical="center"/>
    </xf>
    <xf numFmtId="3" fontId="89" fillId="0" borderId="11" xfId="37" applyNumberFormat="1" applyFont="1" applyBorder="1" applyAlignment="1">
      <alignment horizontal="center" vertical="center"/>
    </xf>
    <xf numFmtId="3" fontId="29" fillId="0" borderId="0" xfId="37" applyNumberFormat="1" applyFont="1" applyAlignment="1">
      <alignment vertical="center"/>
    </xf>
    <xf numFmtId="169" fontId="29" fillId="0" borderId="0" xfId="0" applyNumberFormat="1" applyFont="1" applyAlignment="1">
      <alignment vertical="center"/>
    </xf>
    <xf numFmtId="3" fontId="29" fillId="0" borderId="0" xfId="0" applyNumberFormat="1" applyFont="1" applyAlignment="1">
      <alignment vertical="center"/>
    </xf>
    <xf numFmtId="3" fontId="29" fillId="0" borderId="0" xfId="0" applyNumberFormat="1" applyFont="1" applyAlignment="1">
      <alignment horizontal="center" vertical="center"/>
    </xf>
    <xf numFmtId="0" fontId="32" fillId="0" borderId="0" xfId="51" applyFont="1" applyAlignment="1">
      <alignment horizontal="center" vertical="top" readingOrder="2"/>
    </xf>
    <xf numFmtId="0" fontId="43" fillId="0" borderId="0" xfId="37" applyFont="1" applyAlignment="1">
      <alignment horizontal="center" vertical="center"/>
    </xf>
    <xf numFmtId="3" fontId="22" fillId="27" borderId="18" xfId="51" applyNumberFormat="1" applyFont="1" applyFill="1" applyBorder="1" applyAlignment="1">
      <alignment horizontal="center" vertical="center" wrapText="1" readingOrder="2"/>
    </xf>
    <xf numFmtId="3" fontId="22" fillId="27" borderId="13" xfId="51" applyNumberFormat="1" applyFont="1" applyFill="1" applyBorder="1" applyAlignment="1">
      <alignment horizontal="center" vertical="center" wrapText="1" readingOrder="2"/>
    </xf>
    <xf numFmtId="3" fontId="47" fillId="0" borderId="0" xfId="0" applyNumberFormat="1" applyFont="1" applyAlignment="1">
      <alignment horizontal="center" vertical="center"/>
    </xf>
    <xf numFmtId="0" fontId="43" fillId="0" borderId="0" xfId="37" applyFont="1" applyAlignment="1">
      <alignment vertical="center"/>
    </xf>
    <xf numFmtId="169" fontId="27" fillId="0" borderId="0" xfId="50" applyNumberFormat="1" applyFont="1" applyAlignment="1">
      <alignment horizontal="center" vertical="center"/>
    </xf>
    <xf numFmtId="175" fontId="27" fillId="0" borderId="0" xfId="37" applyNumberFormat="1" applyFont="1" applyAlignment="1">
      <alignment horizontal="center" vertical="center"/>
    </xf>
    <xf numFmtId="0" fontId="32" fillId="0" borderId="0" xfId="51" applyFont="1" applyAlignment="1">
      <alignment vertical="top" readingOrder="2"/>
    </xf>
    <xf numFmtId="0" fontId="73" fillId="0" borderId="0" xfId="37" applyFont="1" applyAlignment="1">
      <alignment vertical="center"/>
    </xf>
    <xf numFmtId="0" fontId="97" fillId="0" borderId="0" xfId="37" applyFont="1" applyAlignment="1">
      <alignment vertical="center"/>
    </xf>
    <xf numFmtId="0" fontId="87" fillId="0" borderId="10" xfId="51" applyFont="1" applyBorder="1" applyAlignment="1">
      <alignment horizontal="right" vertical="center" readingOrder="2"/>
    </xf>
    <xf numFmtId="0" fontId="89" fillId="0" borderId="10" xfId="51" applyFont="1" applyBorder="1" applyAlignment="1">
      <alignment vertical="center" readingOrder="2"/>
    </xf>
    <xf numFmtId="170" fontId="89" fillId="0" borderId="0" xfId="51" applyNumberFormat="1" applyFont="1" applyAlignment="1">
      <alignment horizontal="right" vertical="center" readingOrder="2"/>
    </xf>
    <xf numFmtId="0" fontId="89" fillId="0" borderId="0" xfId="51" applyFont="1" applyAlignment="1">
      <alignment vertical="center" readingOrder="2"/>
    </xf>
    <xf numFmtId="0" fontId="89" fillId="0" borderId="0" xfId="51" applyFont="1" applyAlignment="1">
      <alignment horizontal="right" vertical="center" readingOrder="2"/>
    </xf>
    <xf numFmtId="0" fontId="89" fillId="0" borderId="0" xfId="51" applyFont="1" applyAlignment="1">
      <alignment horizontal="center" vertical="center" readingOrder="2"/>
    </xf>
    <xf numFmtId="0" fontId="25" fillId="0" borderId="0" xfId="51" applyFont="1" applyAlignment="1">
      <alignment wrapText="1"/>
    </xf>
    <xf numFmtId="170" fontId="44" fillId="27" borderId="13" xfId="51" applyNumberFormat="1" applyFont="1" applyFill="1" applyBorder="1" applyAlignment="1">
      <alignment horizontal="center" vertical="center" wrapText="1" readingOrder="2"/>
    </xf>
    <xf numFmtId="0" fontId="44" fillId="0" borderId="12" xfId="0" applyFont="1" applyBorder="1" applyAlignment="1">
      <alignment horizontal="center" vertical="center" shrinkToFit="1"/>
    </xf>
    <xf numFmtId="0" fontId="98" fillId="0" borderId="0" xfId="51" applyFont="1" applyAlignment="1">
      <alignment horizontal="center" readingOrder="2"/>
    </xf>
    <xf numFmtId="170" fontId="99" fillId="0" borderId="0" xfId="51" applyNumberFormat="1" applyFont="1" applyAlignment="1">
      <alignment horizontal="center" readingOrder="2"/>
    </xf>
    <xf numFmtId="0" fontId="100" fillId="0" borderId="0" xfId="0" applyFont="1"/>
    <xf numFmtId="0" fontId="29" fillId="0" borderId="0" xfId="37" applyFont="1" applyAlignment="1">
      <alignment horizontal="center" vertical="center"/>
    </xf>
    <xf numFmtId="0" fontId="100" fillId="0" borderId="0" xfId="37" applyFont="1"/>
    <xf numFmtId="3" fontId="29" fillId="0" borderId="0" xfId="37" applyNumberFormat="1" applyFont="1" applyAlignment="1">
      <alignment horizontal="right" vertical="center"/>
    </xf>
    <xf numFmtId="3" fontId="29" fillId="0" borderId="0" xfId="37" applyNumberFormat="1" applyFont="1" applyAlignment="1">
      <alignment horizontal="center"/>
    </xf>
    <xf numFmtId="3" fontId="100" fillId="0" borderId="0" xfId="0" applyNumberFormat="1" applyFont="1"/>
    <xf numFmtId="3" fontId="29" fillId="39" borderId="0" xfId="37" applyNumberFormat="1" applyFont="1" applyFill="1" applyAlignment="1">
      <alignment horizontal="right" vertical="center"/>
    </xf>
    <xf numFmtId="3" fontId="83" fillId="39" borderId="0" xfId="0" applyNumberFormat="1" applyFont="1" applyFill="1" applyAlignment="1">
      <alignment horizontal="right" vertical="center"/>
    </xf>
    <xf numFmtId="0" fontId="89" fillId="39" borderId="0" xfId="37" applyFont="1" applyFill="1" applyAlignment="1">
      <alignment vertical="center"/>
    </xf>
    <xf numFmtId="3" fontId="41" fillId="0" borderId="0" xfId="54" applyNumberFormat="1" applyFont="1" applyAlignment="1">
      <alignment horizontal="center"/>
    </xf>
    <xf numFmtId="0" fontId="89" fillId="0" borderId="0" xfId="37" applyFont="1" applyAlignment="1">
      <alignment horizontal="center" vertical="center"/>
    </xf>
    <xf numFmtId="3" fontId="83" fillId="0" borderId="0" xfId="0" applyNumberFormat="1" applyFont="1" applyAlignment="1">
      <alignment horizontal="right" vertical="center"/>
    </xf>
    <xf numFmtId="0" fontId="86" fillId="0" borderId="0" xfId="37" applyFont="1" applyAlignment="1">
      <alignment horizontal="center" vertical="center" wrapText="1"/>
    </xf>
    <xf numFmtId="3" fontId="22" fillId="0" borderId="11" xfId="37" applyNumberFormat="1" applyFont="1" applyBorder="1" applyAlignment="1">
      <alignment horizontal="center" vertical="center"/>
    </xf>
    <xf numFmtId="3" fontId="23" fillId="0" borderId="11" xfId="37" applyNumberFormat="1" applyFont="1" applyBorder="1" applyAlignment="1">
      <alignment horizontal="center" vertical="center"/>
    </xf>
    <xf numFmtId="0" fontId="27" fillId="0" borderId="0" xfId="37" applyFont="1" applyAlignment="1">
      <alignment horizontal="right" vertical="center"/>
    </xf>
    <xf numFmtId="3" fontId="85" fillId="0" borderId="0" xfId="37" applyNumberFormat="1" applyFont="1" applyAlignment="1">
      <alignment horizontal="center" vertical="center"/>
    </xf>
    <xf numFmtId="3" fontId="83" fillId="40" borderId="0" xfId="37" applyNumberFormat="1" applyFont="1" applyFill="1" applyAlignment="1">
      <alignment horizontal="center" vertical="center"/>
    </xf>
    <xf numFmtId="3" fontId="45" fillId="0" borderId="0" xfId="0" applyNumberFormat="1" applyFont="1"/>
    <xf numFmtId="0" fontId="85" fillId="0" borderId="0" xfId="37" applyFont="1" applyAlignment="1">
      <alignment horizontal="center" vertical="center"/>
    </xf>
    <xf numFmtId="0" fontId="22" fillId="0" borderId="10" xfId="37" applyFont="1" applyBorder="1" applyAlignment="1">
      <alignment horizontal="center" vertical="center" wrapText="1"/>
    </xf>
    <xf numFmtId="0" fontId="25" fillId="0" borderId="10" xfId="37" applyFont="1" applyBorder="1" applyAlignment="1">
      <alignment horizontal="center" vertical="center" wrapText="1"/>
    </xf>
    <xf numFmtId="0" fontId="30" fillId="0" borderId="0" xfId="37" applyFont="1" applyAlignment="1">
      <alignment horizontal="center" vertical="center"/>
    </xf>
    <xf numFmtId="0" fontId="23" fillId="0" borderId="10" xfId="37" applyFont="1" applyBorder="1" applyAlignment="1">
      <alignment horizontal="center" vertical="center" wrapText="1"/>
    </xf>
    <xf numFmtId="0" fontId="91" fillId="0" borderId="0" xfId="0" applyFont="1" applyAlignment="1">
      <alignment vertical="center"/>
    </xf>
    <xf numFmtId="3" fontId="22" fillId="0" borderId="0" xfId="37" applyNumberFormat="1" applyFont="1" applyAlignment="1">
      <alignment horizontal="center" vertical="center"/>
    </xf>
    <xf numFmtId="3" fontId="89" fillId="0" borderId="0" xfId="37" applyNumberFormat="1" applyFont="1" applyAlignment="1">
      <alignment horizontal="center" vertical="center"/>
    </xf>
    <xf numFmtId="3" fontId="23" fillId="0" borderId="0" xfId="37" applyNumberFormat="1" applyFont="1" applyAlignment="1">
      <alignment horizontal="center" vertical="center"/>
    </xf>
    <xf numFmtId="3" fontId="22" fillId="0" borderId="21" xfId="37" applyNumberFormat="1" applyFont="1" applyBorder="1" applyAlignment="1">
      <alignment horizontal="center" vertical="center"/>
    </xf>
    <xf numFmtId="0" fontId="29" fillId="0" borderId="21" xfId="37" applyFont="1" applyBorder="1" applyAlignment="1">
      <alignment horizontal="center" vertical="center"/>
    </xf>
    <xf numFmtId="0" fontId="102" fillId="0" borderId="10" xfId="37" applyFont="1" applyBorder="1" applyAlignment="1">
      <alignment horizontal="center" vertical="center" wrapText="1"/>
    </xf>
    <xf numFmtId="0" fontId="85" fillId="0" borderId="10" xfId="37" applyFont="1" applyBorder="1" applyAlignment="1">
      <alignment horizontal="center" vertical="center"/>
    </xf>
    <xf numFmtId="37" fontId="27" fillId="0" borderId="0" xfId="37" applyNumberFormat="1" applyFont="1" applyAlignment="1">
      <alignment horizontal="center" vertical="center"/>
    </xf>
    <xf numFmtId="3" fontId="47" fillId="39" borderId="0" xfId="0" applyNumberFormat="1" applyFont="1" applyFill="1" applyAlignment="1">
      <alignment horizontal="center" vertical="center"/>
    </xf>
    <xf numFmtId="0" fontId="22" fillId="39" borderId="10" xfId="37" applyFont="1" applyFill="1" applyBorder="1" applyAlignment="1">
      <alignment horizontal="center" vertical="center" wrapText="1"/>
    </xf>
    <xf numFmtId="3" fontId="83" fillId="39" borderId="0" xfId="37" applyNumberFormat="1" applyFont="1" applyFill="1" applyAlignment="1">
      <alignment horizontal="center" vertical="center"/>
    </xf>
    <xf numFmtId="168" fontId="83" fillId="39" borderId="0" xfId="37" applyNumberFormat="1" applyFont="1" applyFill="1" applyAlignment="1">
      <alignment horizontal="center" vertical="center"/>
    </xf>
    <xf numFmtId="3" fontId="83" fillId="39" borderId="21" xfId="37" applyNumberFormat="1" applyFont="1" applyFill="1" applyBorder="1" applyAlignment="1">
      <alignment horizontal="center" vertical="center"/>
    </xf>
    <xf numFmtId="0" fontId="89" fillId="0" borderId="10" xfId="37" applyFont="1" applyBorder="1" applyAlignment="1">
      <alignment horizontal="center" vertical="center"/>
    </xf>
    <xf numFmtId="3" fontId="83" fillId="0" borderId="21" xfId="37" applyNumberFormat="1" applyFont="1" applyBorder="1" applyAlignment="1">
      <alignment horizontal="center" vertical="center"/>
    </xf>
    <xf numFmtId="0" fontId="94" fillId="0" borderId="0" xfId="37" applyFont="1" applyAlignment="1">
      <alignment horizontal="center" vertical="center" wrapText="1"/>
    </xf>
    <xf numFmtId="172" fontId="83" fillId="0" borderId="0" xfId="37" applyNumberFormat="1" applyFont="1" applyAlignment="1">
      <alignment horizontal="center" vertical="center"/>
    </xf>
    <xf numFmtId="0" fontId="89" fillId="0" borderId="0" xfId="37" applyFont="1" applyAlignment="1">
      <alignment horizontal="right" vertical="center"/>
    </xf>
    <xf numFmtId="3" fontId="83" fillId="0" borderId="11" xfId="37" applyNumberFormat="1" applyFont="1" applyBorder="1" applyAlignment="1">
      <alignment horizontal="center" vertical="center"/>
    </xf>
    <xf numFmtId="3" fontId="29" fillId="0" borderId="0" xfId="37" applyNumberFormat="1" applyFont="1" applyAlignment="1">
      <alignment horizontal="right" vertical="center" readingOrder="2"/>
    </xf>
    <xf numFmtId="3" fontId="29" fillId="0" borderId="0" xfId="37" applyNumberFormat="1" applyFont="1" applyAlignment="1">
      <alignment horizontal="center" vertical="center" readingOrder="2"/>
    </xf>
    <xf numFmtId="49" fontId="52" fillId="0" borderId="0" xfId="37" applyNumberFormat="1" applyFont="1" applyAlignment="1">
      <alignment vertical="center"/>
    </xf>
    <xf numFmtId="3" fontId="29" fillId="0" borderId="0" xfId="0" applyNumberFormat="1" applyFont="1" applyAlignment="1">
      <alignment horizontal="right" vertical="center"/>
    </xf>
    <xf numFmtId="41" fontId="29" fillId="0" borderId="0" xfId="37" applyNumberFormat="1" applyFont="1" applyAlignment="1">
      <alignment vertical="center"/>
    </xf>
    <xf numFmtId="49" fontId="29" fillId="0" borderId="0" xfId="37" applyNumberFormat="1" applyFont="1" applyAlignment="1">
      <alignment horizontal="center" vertical="center"/>
    </xf>
    <xf numFmtId="168" fontId="29" fillId="0" borderId="0" xfId="37" applyNumberFormat="1" applyFont="1" applyAlignment="1">
      <alignment horizontal="center" vertical="center"/>
    </xf>
    <xf numFmtId="0" fontId="52" fillId="0" borderId="0" xfId="37" applyFont="1" applyAlignment="1">
      <alignment vertical="center"/>
    </xf>
    <xf numFmtId="3" fontId="83" fillId="0" borderId="0" xfId="0" applyNumberFormat="1" applyFont="1" applyAlignment="1">
      <alignment horizontal="center" vertical="center"/>
    </xf>
    <xf numFmtId="0" fontId="29" fillId="0" borderId="0" xfId="0" applyFont="1" applyAlignment="1">
      <alignment horizontal="right" vertical="center"/>
    </xf>
    <xf numFmtId="49" fontId="54" fillId="0" borderId="0" xfId="0" applyNumberFormat="1" applyFont="1" applyAlignment="1">
      <alignment horizontal="right" vertical="center"/>
    </xf>
    <xf numFmtId="49" fontId="83" fillId="0" borderId="0" xfId="0" applyNumberFormat="1" applyFont="1" applyAlignment="1">
      <alignment horizontal="center" vertical="center"/>
    </xf>
    <xf numFmtId="0" fontId="72" fillId="0" borderId="0" xfId="0" applyFont="1" applyAlignment="1">
      <alignment horizontal="left" vertical="center"/>
    </xf>
    <xf numFmtId="49" fontId="29" fillId="0" borderId="0" xfId="0" applyNumberFormat="1" applyFont="1" applyAlignment="1">
      <alignment vertical="center"/>
    </xf>
    <xf numFmtId="166" fontId="29" fillId="0" borderId="0" xfId="0" applyNumberFormat="1" applyFont="1" applyAlignment="1">
      <alignment horizontal="right" vertical="center"/>
    </xf>
    <xf numFmtId="168" fontId="29" fillId="0" borderId="0" xfId="0" applyNumberFormat="1" applyFont="1" applyAlignment="1">
      <alignment horizontal="center" vertical="center"/>
    </xf>
    <xf numFmtId="49" fontId="29" fillId="0" borderId="0" xfId="0" applyNumberFormat="1" applyFont="1" applyAlignment="1">
      <alignment horizontal="right" vertical="center"/>
    </xf>
    <xf numFmtId="0" fontId="103" fillId="0" borderId="0" xfId="0" applyFont="1" applyAlignment="1">
      <alignment horizontal="right" vertical="center"/>
    </xf>
    <xf numFmtId="38" fontId="29" fillId="0" borderId="0" xfId="0" applyNumberFormat="1" applyFont="1" applyAlignment="1">
      <alignment horizontal="right" vertical="center"/>
    </xf>
    <xf numFmtId="49" fontId="29" fillId="0" borderId="0" xfId="0" applyNumberFormat="1" applyFont="1" applyAlignment="1">
      <alignment horizontal="center" vertical="center"/>
    </xf>
    <xf numFmtId="0" fontId="29" fillId="0" borderId="0" xfId="0" applyFont="1" applyAlignment="1">
      <alignment horizontal="right" shrinkToFit="1" readingOrder="2"/>
    </xf>
    <xf numFmtId="0" fontId="72" fillId="0" borderId="0" xfId="0" applyFont="1" applyAlignment="1">
      <alignment vertical="center"/>
    </xf>
    <xf numFmtId="49" fontId="54" fillId="0" borderId="0" xfId="0" applyNumberFormat="1" applyFont="1" applyAlignment="1">
      <alignment vertical="center"/>
    </xf>
    <xf numFmtId="49" fontId="29" fillId="0" borderId="0" xfId="37" applyNumberFormat="1" applyFont="1" applyAlignment="1">
      <alignment vertical="center"/>
    </xf>
    <xf numFmtId="166" fontId="29" fillId="0" borderId="0" xfId="37" applyNumberFormat="1" applyFont="1" applyAlignment="1">
      <alignment horizontal="right" vertical="center"/>
    </xf>
    <xf numFmtId="0" fontId="29" fillId="0" borderId="0" xfId="56" applyFont="1" applyAlignment="1">
      <alignment horizontal="center" vertical="center" readingOrder="2"/>
    </xf>
    <xf numFmtId="166" fontId="29" fillId="0" borderId="0" xfId="37" applyNumberFormat="1" applyFont="1" applyAlignment="1">
      <alignment vertical="center"/>
    </xf>
    <xf numFmtId="0" fontId="89" fillId="0" borderId="20" xfId="37" applyFont="1" applyBorder="1" applyAlignment="1">
      <alignment horizontal="center" vertical="center" wrapText="1"/>
    </xf>
    <xf numFmtId="3" fontId="89" fillId="0" borderId="21" xfId="37" applyNumberFormat="1" applyFont="1" applyBorder="1" applyAlignment="1">
      <alignment horizontal="center" vertical="center"/>
    </xf>
    <xf numFmtId="0" fontId="89" fillId="0" borderId="0" xfId="37" applyFont="1" applyAlignment="1">
      <alignment horizontal="right" vertical="center" readingOrder="2"/>
    </xf>
    <xf numFmtId="3" fontId="84" fillId="0" borderId="11" xfId="37" applyNumberFormat="1" applyFont="1" applyBorder="1" applyAlignment="1">
      <alignment horizontal="center" vertical="center"/>
    </xf>
    <xf numFmtId="3" fontId="104" fillId="0" borderId="0" xfId="51" applyNumberFormat="1" applyFont="1" applyAlignment="1">
      <alignment horizontal="center" vertical="center" readingOrder="2"/>
    </xf>
    <xf numFmtId="0" fontId="105" fillId="0" borderId="0" xfId="51" applyFont="1"/>
    <xf numFmtId="0" fontId="22" fillId="27" borderId="12" xfId="51" applyFont="1" applyFill="1" applyBorder="1" applyAlignment="1">
      <alignment horizontal="center" vertical="center" wrapText="1" readingOrder="2"/>
    </xf>
    <xf numFmtId="0" fontId="22" fillId="27" borderId="12" xfId="51" applyFont="1" applyFill="1" applyBorder="1" applyAlignment="1">
      <alignment horizontal="center" vertical="center" readingOrder="2"/>
    </xf>
    <xf numFmtId="0" fontId="104" fillId="0" borderId="0" xfId="51" applyFont="1" applyAlignment="1">
      <alignment horizontal="center" vertical="center" readingOrder="2"/>
    </xf>
    <xf numFmtId="0" fontId="67" fillId="0" borderId="0" xfId="56" applyFont="1" applyAlignment="1">
      <alignment horizontal="center" vertical="center" wrapText="1"/>
    </xf>
    <xf numFmtId="49" fontId="49" fillId="0" borderId="0" xfId="54" applyNumberFormat="1" applyFont="1" applyAlignment="1">
      <alignment vertical="center"/>
    </xf>
    <xf numFmtId="166" fontId="49" fillId="0" borderId="0" xfId="54" applyNumberFormat="1" applyFont="1" applyAlignment="1">
      <alignment horizontal="right" vertical="center"/>
    </xf>
    <xf numFmtId="49" fontId="49" fillId="0" borderId="0" xfId="54" applyNumberFormat="1" applyFont="1" applyAlignment="1">
      <alignment horizontal="center" vertical="center"/>
    </xf>
    <xf numFmtId="0" fontId="74" fillId="0" borderId="0" xfId="54" applyFont="1"/>
    <xf numFmtId="3" fontId="32" fillId="0" borderId="0" xfId="54" applyNumberFormat="1" applyFont="1" applyAlignment="1">
      <alignment horizontal="center"/>
    </xf>
    <xf numFmtId="0" fontId="106" fillId="0" borderId="0" xfId="52" applyFont="1" applyAlignment="1">
      <alignment horizontal="right" vertical="center" readingOrder="2"/>
    </xf>
    <xf numFmtId="0" fontId="77" fillId="0" borderId="0" xfId="54" applyFont="1" applyAlignment="1">
      <alignment wrapText="1"/>
    </xf>
    <xf numFmtId="0" fontId="33" fillId="0" borderId="0" xfId="54" applyFont="1" applyAlignment="1">
      <alignment wrapText="1"/>
    </xf>
    <xf numFmtId="3" fontId="32" fillId="0" borderId="0" xfId="54" applyNumberFormat="1" applyFont="1" applyAlignment="1">
      <alignment horizontal="center" vertical="center"/>
    </xf>
    <xf numFmtId="0" fontId="32" fillId="28" borderId="12" xfId="54" applyFont="1" applyFill="1" applyBorder="1" applyAlignment="1">
      <alignment horizontal="center" vertical="center" wrapText="1" readingOrder="2"/>
    </xf>
    <xf numFmtId="0" fontId="73" fillId="0" borderId="0" xfId="54" applyFont="1" applyAlignment="1">
      <alignment wrapText="1"/>
    </xf>
    <xf numFmtId="0" fontId="73" fillId="0" borderId="0" xfId="54" applyFont="1"/>
    <xf numFmtId="3" fontId="41" fillId="0" borderId="0" xfId="54" applyNumberFormat="1" applyFont="1" applyAlignment="1">
      <alignment horizontal="center" vertical="center"/>
    </xf>
    <xf numFmtId="173" fontId="41" fillId="0" borderId="12" xfId="54" applyNumberFormat="1" applyFont="1" applyBorder="1" applyAlignment="1">
      <alignment horizontal="center" vertical="center" readingOrder="2"/>
    </xf>
    <xf numFmtId="174" fontId="41" fillId="0" borderId="12" xfId="54" applyNumberFormat="1" applyFont="1" applyBorder="1" applyAlignment="1">
      <alignment horizontal="center" vertical="center" readingOrder="2"/>
    </xf>
    <xf numFmtId="0" fontId="41" fillId="28" borderId="12" xfId="54" applyFont="1" applyFill="1" applyBorder="1" applyAlignment="1">
      <alignment horizontal="center" vertical="center" readingOrder="2"/>
    </xf>
    <xf numFmtId="174" fontId="41" fillId="28" borderId="12" xfId="54" applyNumberFormat="1" applyFont="1" applyFill="1" applyBorder="1" applyAlignment="1">
      <alignment horizontal="center" vertical="center" readingOrder="2"/>
    </xf>
    <xf numFmtId="0" fontId="40" fillId="0" borderId="0" xfId="37" applyFont="1" applyAlignment="1">
      <alignment horizontal="center" vertical="center" wrapText="1"/>
    </xf>
    <xf numFmtId="0" fontId="72" fillId="0" borderId="0" xfId="37" applyFont="1" applyAlignment="1">
      <alignment horizontal="center" vertical="center" wrapText="1"/>
    </xf>
    <xf numFmtId="172" fontId="29" fillId="0" borderId="0" xfId="37" applyNumberFormat="1" applyFont="1" applyAlignment="1">
      <alignment horizontal="center" vertical="center"/>
    </xf>
    <xf numFmtId="0" fontId="72" fillId="0" borderId="0" xfId="37" applyFont="1" applyAlignment="1">
      <alignment horizontal="right" vertical="center"/>
    </xf>
    <xf numFmtId="3" fontId="29" fillId="40" borderId="0" xfId="37" applyNumberFormat="1" applyFont="1" applyFill="1" applyAlignment="1">
      <alignment horizontal="center" vertical="center"/>
    </xf>
    <xf numFmtId="0" fontId="33" fillId="0" borderId="0" xfId="52" applyFont="1"/>
    <xf numFmtId="0" fontId="109" fillId="0" borderId="0" xfId="52" applyFont="1" applyAlignment="1">
      <alignment horizontal="center" vertical="center"/>
    </xf>
    <xf numFmtId="0" fontId="70" fillId="0" borderId="0" xfId="52" applyFont="1" applyAlignment="1">
      <alignment shrinkToFit="1"/>
    </xf>
    <xf numFmtId="0" fontId="29" fillId="0" borderId="0" xfId="52" applyFont="1" applyAlignment="1">
      <alignment shrinkToFit="1"/>
    </xf>
    <xf numFmtId="0" fontId="100" fillId="0" borderId="0" xfId="52" applyFont="1"/>
    <xf numFmtId="0" fontId="37" fillId="0" borderId="0" xfId="52" applyFont="1" applyAlignment="1">
      <alignment horizontal="center" readingOrder="2"/>
    </xf>
    <xf numFmtId="0" fontId="110" fillId="0" borderId="0" xfId="52" applyFont="1" applyAlignment="1">
      <alignment horizontal="center" readingOrder="2"/>
    </xf>
    <xf numFmtId="0" fontId="37" fillId="0" borderId="0" xfId="52" applyFont="1" applyAlignment="1">
      <alignment readingOrder="2"/>
    </xf>
    <xf numFmtId="3" fontId="37" fillId="0" borderId="0" xfId="52" applyNumberFormat="1" applyFont="1" applyAlignment="1">
      <alignment horizontal="center" readingOrder="2"/>
    </xf>
    <xf numFmtId="3" fontId="52" fillId="27" borderId="0" xfId="52" applyNumberFormat="1" applyFont="1" applyFill="1" applyAlignment="1">
      <alignment horizontal="center" vertical="center" shrinkToFit="1" readingOrder="2"/>
    </xf>
    <xf numFmtId="0" fontId="111" fillId="0" borderId="0" xfId="52" applyFont="1" applyAlignment="1">
      <alignment horizontal="center" readingOrder="2"/>
    </xf>
    <xf numFmtId="0" fontId="33" fillId="0" borderId="0" xfId="52" applyFont="1" applyAlignment="1">
      <alignment readingOrder="2"/>
    </xf>
    <xf numFmtId="0" fontId="33" fillId="0" borderId="0" xfId="52" applyFont="1" applyAlignment="1">
      <alignment horizontal="center" readingOrder="2"/>
    </xf>
    <xf numFmtId="0" fontId="111" fillId="0" borderId="0" xfId="52" applyFont="1" applyAlignment="1">
      <alignment horizontal="center"/>
    </xf>
    <xf numFmtId="0" fontId="33" fillId="0" borderId="0" xfId="52" applyFont="1" applyAlignment="1">
      <alignment horizontal="center"/>
    </xf>
    <xf numFmtId="1" fontId="29" fillId="0" borderId="0" xfId="37" applyNumberFormat="1" applyFont="1" applyAlignment="1">
      <alignment horizontal="center" vertical="center"/>
    </xf>
    <xf numFmtId="169" fontId="29" fillId="0" borderId="0" xfId="37" applyNumberFormat="1" applyFont="1" applyAlignment="1">
      <alignment vertical="center"/>
    </xf>
    <xf numFmtId="2" fontId="29" fillId="0" borderId="0" xfId="37" applyNumberFormat="1" applyFont="1" applyAlignment="1">
      <alignment horizontal="center" vertical="center"/>
    </xf>
    <xf numFmtId="3" fontId="107" fillId="0" borderId="0" xfId="57" applyNumberFormat="1" applyFont="1" applyAlignment="1">
      <alignment horizontal="center" vertical="center"/>
    </xf>
    <xf numFmtId="49" fontId="103" fillId="0" borderId="0" xfId="0" applyNumberFormat="1" applyFont="1" applyAlignment="1">
      <alignment horizontal="right" vertical="center"/>
    </xf>
    <xf numFmtId="49" fontId="52" fillId="0" borderId="0" xfId="37" applyNumberFormat="1" applyFont="1" applyAlignment="1">
      <alignment horizontal="center" vertical="center"/>
    </xf>
    <xf numFmtId="171" fontId="29" fillId="0" borderId="0" xfId="0" applyNumberFormat="1" applyFont="1" applyAlignment="1">
      <alignment horizontal="center" vertical="center"/>
    </xf>
    <xf numFmtId="0" fontId="112" fillId="0" borderId="0" xfId="37" applyFont="1" applyAlignment="1">
      <alignment horizontal="center" vertical="center"/>
    </xf>
    <xf numFmtId="3" fontId="112" fillId="0" borderId="0" xfId="37" applyNumberFormat="1" applyFont="1" applyAlignment="1">
      <alignment horizontal="center" vertical="center"/>
    </xf>
    <xf numFmtId="14" fontId="75" fillId="0" borderId="0" xfId="0" applyNumberFormat="1" applyFont="1" applyAlignment="1">
      <alignment vertical="center"/>
    </xf>
    <xf numFmtId="168" fontId="49" fillId="0" borderId="0" xfId="0" applyNumberFormat="1" applyFont="1" applyAlignment="1">
      <alignment horizontal="center" vertical="center"/>
    </xf>
    <xf numFmtId="164" fontId="41" fillId="0" borderId="0" xfId="0" applyNumberFormat="1" applyFont="1" applyAlignment="1">
      <alignment horizontal="center" vertical="center"/>
    </xf>
    <xf numFmtId="0" fontId="41" fillId="0" borderId="0" xfId="0" applyFont="1" applyAlignment="1">
      <alignment horizontal="center" vertical="center"/>
    </xf>
    <xf numFmtId="164" fontId="30" fillId="0" borderId="0" xfId="0" applyNumberFormat="1" applyFont="1" applyAlignment="1">
      <alignment horizontal="center" vertical="center"/>
    </xf>
    <xf numFmtId="0" fontId="32" fillId="0" borderId="0" xfId="0" applyFont="1" applyAlignment="1">
      <alignment horizontal="center" vertical="center"/>
    </xf>
    <xf numFmtId="164" fontId="32" fillId="0" borderId="0" xfId="0" applyNumberFormat="1" applyFont="1" applyAlignment="1">
      <alignment horizontal="center" vertical="center"/>
    </xf>
    <xf numFmtId="168" fontId="32" fillId="0" borderId="0" xfId="43" applyNumberFormat="1" applyFont="1" applyAlignment="1">
      <alignment horizontal="center" vertical="center"/>
    </xf>
    <xf numFmtId="3" fontId="76" fillId="0" borderId="0" xfId="0" applyNumberFormat="1" applyFont="1" applyAlignment="1">
      <alignment vertical="center"/>
    </xf>
    <xf numFmtId="3" fontId="70" fillId="0" borderId="0" xfId="0" applyNumberFormat="1" applyFont="1" applyAlignment="1">
      <alignment vertical="center"/>
    </xf>
    <xf numFmtId="164" fontId="76" fillId="0" borderId="0" xfId="0" applyNumberFormat="1" applyFont="1" applyAlignment="1">
      <alignment vertical="center"/>
    </xf>
    <xf numFmtId="167" fontId="70" fillId="0" borderId="0" xfId="0" applyNumberFormat="1" applyFont="1" applyAlignment="1">
      <alignment vertical="center"/>
    </xf>
    <xf numFmtId="3" fontId="76" fillId="0" borderId="0" xfId="0" applyNumberFormat="1" applyFont="1" applyAlignment="1">
      <alignment horizontal="center" vertical="center"/>
    </xf>
    <xf numFmtId="169" fontId="76" fillId="0" borderId="0" xfId="50" applyNumberFormat="1" applyFont="1" applyAlignment="1">
      <alignment vertical="center"/>
    </xf>
    <xf numFmtId="167" fontId="76" fillId="0" borderId="0" xfId="0" applyNumberFormat="1" applyFont="1" applyAlignment="1">
      <alignment vertical="center"/>
    </xf>
    <xf numFmtId="179" fontId="27" fillId="0" borderId="0" xfId="37" applyNumberFormat="1" applyFont="1" applyAlignment="1">
      <alignment horizontal="center" vertical="center"/>
    </xf>
    <xf numFmtId="179" fontId="27" fillId="0" borderId="18" xfId="37" applyNumberFormat="1" applyFont="1" applyBorder="1" applyAlignment="1">
      <alignment horizontal="center" vertical="center"/>
    </xf>
    <xf numFmtId="179" fontId="27" fillId="0" borderId="19" xfId="37" applyNumberFormat="1" applyFont="1" applyBorder="1" applyAlignment="1">
      <alignment horizontal="center" vertical="center"/>
    </xf>
    <xf numFmtId="179" fontId="27" fillId="0" borderId="10" xfId="37" applyNumberFormat="1" applyFont="1" applyBorder="1" applyAlignment="1">
      <alignment horizontal="center" vertical="center"/>
    </xf>
    <xf numFmtId="179" fontId="27" fillId="0" borderId="20" xfId="37" applyNumberFormat="1" applyFont="1" applyBorder="1" applyAlignment="1">
      <alignment horizontal="center" vertical="center"/>
    </xf>
    <xf numFmtId="0" fontId="108" fillId="0" borderId="0" xfId="37" applyFont="1" applyAlignment="1">
      <alignment vertical="center" readingOrder="2"/>
    </xf>
    <xf numFmtId="0" fontId="44" fillId="0" borderId="0" xfId="51" applyFont="1" applyAlignment="1">
      <alignment wrapText="1"/>
    </xf>
    <xf numFmtId="3" fontId="89" fillId="0" borderId="0" xfId="51" applyNumberFormat="1" applyFont="1" applyAlignment="1">
      <alignment horizontal="center" vertical="center" readingOrder="2"/>
    </xf>
    <xf numFmtId="0" fontId="90" fillId="0" borderId="0" xfId="56" applyFont="1" applyAlignment="1">
      <alignment horizontal="center" vertical="center"/>
    </xf>
    <xf numFmtId="0" fontId="46" fillId="0" borderId="0" xfId="56" applyFont="1" applyAlignment="1">
      <alignment horizontal="center" vertical="center"/>
    </xf>
    <xf numFmtId="0" fontId="22" fillId="0" borderId="0" xfId="56" applyFont="1" applyAlignment="1">
      <alignment horizontal="center" vertical="center"/>
    </xf>
    <xf numFmtId="0" fontId="22" fillId="25" borderId="12" xfId="56" applyFont="1" applyFill="1" applyBorder="1" applyAlignment="1">
      <alignment horizontal="center" vertical="center"/>
    </xf>
    <xf numFmtId="0" fontId="86" fillId="25" borderId="12" xfId="56" applyFont="1" applyFill="1" applyBorder="1" applyAlignment="1">
      <alignment horizontal="center" vertical="center"/>
    </xf>
    <xf numFmtId="0" fontId="25" fillId="0" borderId="0" xfId="56" applyFont="1" applyAlignment="1">
      <alignment horizontal="center" vertical="center"/>
    </xf>
    <xf numFmtId="0" fontId="22" fillId="28" borderId="12" xfId="54" applyFont="1" applyFill="1" applyBorder="1" applyAlignment="1">
      <alignment horizontal="center" vertical="center" readingOrder="2"/>
    </xf>
    <xf numFmtId="3" fontId="44" fillId="0" borderId="23" xfId="54" applyNumberFormat="1" applyFont="1" applyBorder="1" applyAlignment="1">
      <alignment horizontal="center" vertical="center"/>
    </xf>
    <xf numFmtId="3" fontId="44" fillId="28" borderId="23" xfId="54" applyNumberFormat="1" applyFont="1" applyFill="1" applyBorder="1" applyAlignment="1">
      <alignment horizontal="center" vertical="center"/>
    </xf>
    <xf numFmtId="166" fontId="44" fillId="0" borderId="23" xfId="54" applyNumberFormat="1" applyFont="1" applyBorder="1" applyAlignment="1">
      <alignment horizontal="right" vertical="center" shrinkToFit="1"/>
    </xf>
    <xf numFmtId="172" fontId="44" fillId="0" borderId="12" xfId="54" applyNumberFormat="1" applyFont="1" applyBorder="1" applyAlignment="1">
      <alignment horizontal="center" vertical="center" readingOrder="2"/>
    </xf>
    <xf numFmtId="0" fontId="22" fillId="28" borderId="23" xfId="54" applyFont="1" applyFill="1" applyBorder="1" applyAlignment="1">
      <alignment horizontal="center" vertical="center" readingOrder="2"/>
    </xf>
    <xf numFmtId="0" fontId="44" fillId="0" borderId="12" xfId="54" applyFont="1" applyBorder="1" applyAlignment="1">
      <alignment horizontal="center" vertical="center" readingOrder="2"/>
    </xf>
    <xf numFmtId="49" fontId="89" fillId="0" borderId="0" xfId="37" applyNumberFormat="1" applyFont="1" applyAlignment="1">
      <alignment vertical="center"/>
    </xf>
    <xf numFmtId="3" fontId="83" fillId="0" borderId="0" xfId="37" applyNumberFormat="1" applyFont="1" applyAlignment="1">
      <alignment horizontal="center" vertical="center" readingOrder="2"/>
    </xf>
    <xf numFmtId="49" fontId="83" fillId="29" borderId="29" xfId="0" applyNumberFormat="1" applyFont="1" applyFill="1" applyBorder="1" applyAlignment="1">
      <alignment horizontal="center" vertical="center"/>
    </xf>
    <xf numFmtId="3" fontId="83" fillId="29" borderId="0" xfId="0" applyNumberFormat="1" applyFont="1" applyFill="1" applyAlignment="1">
      <alignment horizontal="center" vertical="center"/>
    </xf>
    <xf numFmtId="3" fontId="83" fillId="0" borderId="0" xfId="37" applyNumberFormat="1" applyFont="1" applyAlignment="1">
      <alignment vertical="center"/>
    </xf>
    <xf numFmtId="0" fontId="83" fillId="0" borderId="0" xfId="37" applyFont="1" applyAlignment="1">
      <alignment vertical="center" readingOrder="2"/>
    </xf>
    <xf numFmtId="3" fontId="83" fillId="0" borderId="10" xfId="37" applyNumberFormat="1" applyFont="1" applyBorder="1" applyAlignment="1">
      <alignment horizontal="center" vertical="center"/>
    </xf>
    <xf numFmtId="3" fontId="83" fillId="0" borderId="22" xfId="37" applyNumberFormat="1" applyFont="1" applyBorder="1" applyAlignment="1">
      <alignment horizontal="center" vertical="center"/>
    </xf>
    <xf numFmtId="49" fontId="113" fillId="0" borderId="0" xfId="37" applyNumberFormat="1" applyFont="1" applyAlignment="1">
      <alignment vertical="center" readingOrder="1"/>
    </xf>
    <xf numFmtId="1" fontId="83" fillId="0" borderId="0" xfId="37" applyNumberFormat="1" applyFont="1" applyAlignment="1">
      <alignment horizontal="center" vertical="center"/>
    </xf>
    <xf numFmtId="49" fontId="113" fillId="0" borderId="0" xfId="37" applyNumberFormat="1" applyFont="1" applyAlignment="1">
      <alignment vertical="center"/>
    </xf>
    <xf numFmtId="49" fontId="113" fillId="0" borderId="0" xfId="37" applyNumberFormat="1" applyFont="1" applyAlignment="1">
      <alignment horizontal="center" vertical="center"/>
    </xf>
    <xf numFmtId="3" fontId="83" fillId="0" borderId="0" xfId="37" applyNumberFormat="1" applyFont="1" applyAlignment="1">
      <alignment horizontal="right" vertical="center"/>
    </xf>
    <xf numFmtId="49" fontId="83" fillId="0" borderId="0" xfId="37" applyNumberFormat="1" applyFont="1" applyAlignment="1">
      <alignment vertical="center" readingOrder="2"/>
    </xf>
    <xf numFmtId="3" fontId="83" fillId="0" borderId="0" xfId="37" applyNumberFormat="1" applyFont="1" applyAlignment="1">
      <alignment horizontal="right" vertical="center" readingOrder="2"/>
    </xf>
    <xf numFmtId="3" fontId="83" fillId="0" borderId="11" xfId="0" applyNumberFormat="1" applyFont="1" applyBorder="1" applyAlignment="1">
      <alignment horizontal="center" vertical="center"/>
    </xf>
    <xf numFmtId="0" fontId="83" fillId="29" borderId="29" xfId="0" applyFont="1" applyFill="1" applyBorder="1" applyAlignment="1">
      <alignment horizontal="center" vertical="center"/>
    </xf>
    <xf numFmtId="166" fontId="83" fillId="0" borderId="0" xfId="0" applyNumberFormat="1" applyFont="1" applyAlignment="1">
      <alignment horizontal="right" vertical="center"/>
    </xf>
    <xf numFmtId="0" fontId="83" fillId="0" borderId="0" xfId="0" applyFont="1" applyAlignment="1">
      <alignment vertical="center"/>
    </xf>
    <xf numFmtId="2" fontId="83" fillId="0" borderId="0" xfId="0" applyNumberFormat="1" applyFont="1" applyAlignment="1">
      <alignment horizontal="right" vertical="center"/>
    </xf>
    <xf numFmtId="49" fontId="83" fillId="0" borderId="10" xfId="37" applyNumberFormat="1" applyFont="1" applyBorder="1" applyAlignment="1">
      <alignment horizontal="center" vertical="center"/>
    </xf>
    <xf numFmtId="49" fontId="83" fillId="0" borderId="0" xfId="0" applyNumberFormat="1" applyFont="1" applyAlignment="1">
      <alignment vertical="center"/>
    </xf>
    <xf numFmtId="0" fontId="83" fillId="0" borderId="0" xfId="0" applyFont="1" applyAlignment="1">
      <alignment horizontal="right" vertical="center"/>
    </xf>
    <xf numFmtId="168" fontId="83" fillId="0" borderId="0" xfId="0" applyNumberFormat="1" applyFont="1" applyAlignment="1">
      <alignment horizontal="center" vertical="center"/>
    </xf>
    <xf numFmtId="49" fontId="51" fillId="0" borderId="0" xfId="0" applyNumberFormat="1" applyFont="1" applyAlignment="1">
      <alignment horizontal="right" vertical="center"/>
    </xf>
    <xf numFmtId="49" fontId="83" fillId="0" borderId="0" xfId="0" applyNumberFormat="1" applyFont="1" applyAlignment="1">
      <alignment horizontal="right" vertical="center"/>
    </xf>
    <xf numFmtId="0" fontId="83" fillId="0" borderId="0" xfId="0" applyFont="1" applyAlignment="1">
      <alignment horizontal="center" vertical="center"/>
    </xf>
    <xf numFmtId="0" fontId="114" fillId="0" borderId="0" xfId="0" applyFont="1" applyAlignment="1">
      <alignment horizontal="right" vertical="center"/>
    </xf>
    <xf numFmtId="3" fontId="83" fillId="0" borderId="0" xfId="0" applyNumberFormat="1" applyFont="1" applyAlignment="1">
      <alignment horizontal="center" vertical="center" readingOrder="2"/>
    </xf>
    <xf numFmtId="1" fontId="83" fillId="29" borderId="10" xfId="37" applyNumberFormat="1" applyFont="1" applyFill="1" applyBorder="1" applyAlignment="1">
      <alignment horizontal="center" vertical="center" readingOrder="2"/>
    </xf>
    <xf numFmtId="3" fontId="83" fillId="29" borderId="0" xfId="37" applyNumberFormat="1" applyFont="1" applyFill="1" applyAlignment="1">
      <alignment horizontal="center" vertical="center"/>
    </xf>
    <xf numFmtId="3" fontId="83" fillId="0" borderId="11" xfId="54" applyNumberFormat="1" applyFont="1" applyBorder="1" applyAlignment="1">
      <alignment horizontal="center" vertical="center"/>
    </xf>
    <xf numFmtId="3" fontId="83" fillId="0" borderId="0" xfId="43" applyNumberFormat="1" applyFont="1" applyAlignment="1">
      <alignment horizontal="center" vertical="center" readingOrder="2"/>
    </xf>
    <xf numFmtId="3" fontId="83" fillId="0" borderId="0" xfId="50" applyNumberFormat="1" applyFont="1" applyAlignment="1">
      <alignment horizontal="center"/>
    </xf>
    <xf numFmtId="0" fontId="44" fillId="0" borderId="0" xfId="37" applyFont="1" applyAlignment="1">
      <alignment horizontal="center" vertical="center"/>
    </xf>
    <xf numFmtId="3" fontId="50" fillId="0" borderId="0" xfId="37" applyNumberFormat="1" applyFont="1" applyAlignment="1">
      <alignment horizontal="center" vertical="center"/>
    </xf>
    <xf numFmtId="0" fontId="23" fillId="0" borderId="10" xfId="37" applyFont="1" applyBorder="1" applyAlignment="1">
      <alignment horizontal="center" vertical="center"/>
    </xf>
    <xf numFmtId="0" fontId="115" fillId="0" borderId="10" xfId="37" applyFont="1" applyBorder="1" applyAlignment="1">
      <alignment horizontal="center" vertical="center"/>
    </xf>
    <xf numFmtId="0" fontId="115" fillId="0" borderId="0" xfId="37" applyFont="1" applyAlignment="1">
      <alignment horizontal="center" vertical="center"/>
    </xf>
    <xf numFmtId="14" fontId="50" fillId="0" borderId="10" xfId="37" applyNumberFormat="1" applyFont="1" applyBorder="1" applyAlignment="1">
      <alignment horizontal="center" vertical="center"/>
    </xf>
    <xf numFmtId="0" fontId="50" fillId="0" borderId="0" xfId="37" applyFont="1" applyAlignment="1">
      <alignment horizontal="center" vertical="center"/>
    </xf>
    <xf numFmtId="14" fontId="50" fillId="0" borderId="0" xfId="37" applyNumberFormat="1" applyFont="1" applyAlignment="1">
      <alignment horizontal="center" vertical="center"/>
    </xf>
    <xf numFmtId="0" fontId="116" fillId="0" borderId="0" xfId="37" applyFont="1" applyAlignment="1">
      <alignment horizontal="center" vertical="center"/>
    </xf>
    <xf numFmtId="0" fontId="23" fillId="0" borderId="0" xfId="37" applyFont="1" applyAlignment="1">
      <alignment horizontal="right" vertical="center"/>
    </xf>
    <xf numFmtId="0" fontId="50" fillId="0" borderId="0" xfId="37" applyFont="1" applyAlignment="1">
      <alignment horizontal="right" vertical="center"/>
    </xf>
    <xf numFmtId="0" fontId="117" fillId="0" borderId="0" xfId="37" applyFont="1" applyAlignment="1">
      <alignment horizontal="right" vertical="center"/>
    </xf>
    <xf numFmtId="0" fontId="50" fillId="0" borderId="0" xfId="37" applyFont="1" applyAlignment="1">
      <alignment vertical="center"/>
    </xf>
    <xf numFmtId="0" fontId="115" fillId="0" borderId="0" xfId="37" applyFont="1" applyAlignment="1">
      <alignment horizontal="right" vertical="center"/>
    </xf>
    <xf numFmtId="0" fontId="118" fillId="0" borderId="0" xfId="51" applyFont="1"/>
    <xf numFmtId="0" fontId="46" fillId="0" borderId="0" xfId="51" applyFont="1" applyAlignment="1">
      <alignment horizontal="center" vertical="distributed"/>
    </xf>
    <xf numFmtId="0" fontId="119" fillId="0" borderId="0" xfId="37" applyFont="1" applyAlignment="1">
      <alignment horizontal="center" vertical="center"/>
    </xf>
    <xf numFmtId="0" fontId="50" fillId="0" borderId="10" xfId="37" applyFont="1" applyBorder="1" applyAlignment="1">
      <alignment horizontal="center" vertical="center"/>
    </xf>
    <xf numFmtId="0" fontId="116" fillId="0" borderId="0" xfId="37" applyFont="1" applyAlignment="1">
      <alignment horizontal="right" vertical="center"/>
    </xf>
    <xf numFmtId="0" fontId="22" fillId="0" borderId="0" xfId="51" applyFont="1" applyAlignment="1">
      <alignment horizontal="center" vertical="distributed"/>
    </xf>
    <xf numFmtId="0" fontId="118" fillId="0" borderId="0" xfId="51" applyFont="1" applyAlignment="1">
      <alignment horizontal="center"/>
    </xf>
    <xf numFmtId="0" fontId="22" fillId="0" borderId="0" xfId="51" applyFont="1" applyAlignment="1">
      <alignment horizontal="center" vertical="top" readingOrder="2"/>
    </xf>
    <xf numFmtId="0" fontId="22" fillId="0" borderId="0" xfId="51" applyFont="1" applyAlignment="1">
      <alignment vertical="distributed"/>
    </xf>
    <xf numFmtId="0" fontId="22" fillId="0" borderId="0" xfId="0" applyFont="1" applyAlignment="1">
      <alignment horizontal="center" vertical="center"/>
    </xf>
    <xf numFmtId="0" fontId="116" fillId="0" borderId="0" xfId="0" applyFont="1" applyAlignment="1">
      <alignment vertical="center"/>
    </xf>
    <xf numFmtId="0" fontId="86" fillId="0" borderId="0" xfId="0" applyFont="1" applyAlignment="1">
      <alignment vertical="center"/>
    </xf>
    <xf numFmtId="0" fontId="120" fillId="0" borderId="0" xfId="0" applyFont="1" applyAlignment="1">
      <alignment vertical="center"/>
    </xf>
    <xf numFmtId="0" fontId="116" fillId="0" borderId="0" xfId="0" applyFont="1" applyAlignment="1">
      <alignment horizontal="center" vertical="center"/>
    </xf>
    <xf numFmtId="0" fontId="121" fillId="0" borderId="0" xfId="0" applyFont="1" applyAlignment="1">
      <alignment horizontal="center" vertical="center"/>
    </xf>
    <xf numFmtId="0" fontId="122" fillId="0" borderId="0" xfId="37" applyFont="1" applyAlignment="1">
      <alignment horizontal="center" vertical="center"/>
    </xf>
    <xf numFmtId="49" fontId="22" fillId="0" borderId="0" xfId="43" applyNumberFormat="1" applyFont="1" applyAlignment="1">
      <alignment horizontal="left" vertical="center"/>
    </xf>
    <xf numFmtId="166" fontId="22" fillId="0" borderId="0" xfId="43" applyNumberFormat="1" applyFont="1" applyAlignment="1">
      <alignment horizontal="right" vertical="center"/>
    </xf>
    <xf numFmtId="49" fontId="22" fillId="0" borderId="0" xfId="43" applyNumberFormat="1" applyFont="1" applyAlignment="1">
      <alignment horizontal="center" vertical="center"/>
    </xf>
    <xf numFmtId="0" fontId="85" fillId="0" borderId="0" xfId="43" applyFont="1" applyAlignment="1">
      <alignment vertical="center"/>
    </xf>
    <xf numFmtId="3" fontId="85" fillId="0" borderId="0" xfId="43" applyNumberFormat="1" applyFont="1" applyAlignment="1">
      <alignment horizontal="center" vertical="center"/>
    </xf>
    <xf numFmtId="0" fontId="123" fillId="0" borderId="0" xfId="43" applyFont="1" applyAlignment="1">
      <alignment vertical="center"/>
    </xf>
    <xf numFmtId="166" fontId="85" fillId="0" borderId="0" xfId="43" applyNumberFormat="1" applyFont="1" applyAlignment="1">
      <alignment horizontal="right" vertical="center"/>
    </xf>
    <xf numFmtId="168" fontId="85" fillId="0" borderId="0" xfId="43" applyNumberFormat="1" applyFont="1" applyAlignment="1">
      <alignment horizontal="center" vertical="center"/>
    </xf>
    <xf numFmtId="0" fontId="124" fillId="0" borderId="0" xfId="52" applyFont="1" applyAlignment="1">
      <alignment horizontal="center" vertical="center" readingOrder="2"/>
    </xf>
    <xf numFmtId="0" fontId="125" fillId="0" borderId="0" xfId="52" applyFont="1" applyAlignment="1">
      <alignment horizontal="center" vertical="center"/>
    </xf>
    <xf numFmtId="0" fontId="91" fillId="27" borderId="12" xfId="52" applyFont="1" applyFill="1" applyBorder="1" applyAlignment="1">
      <alignment horizontal="center" vertical="center" shrinkToFit="1" readingOrder="2"/>
    </xf>
    <xf numFmtId="3" fontId="120" fillId="0" borderId="12" xfId="52" applyNumberFormat="1" applyFont="1" applyBorder="1" applyAlignment="1">
      <alignment horizontal="center" vertical="center" shrinkToFit="1" readingOrder="2"/>
    </xf>
    <xf numFmtId="3" fontId="120" fillId="27" borderId="12" xfId="52" applyNumberFormat="1" applyFont="1" applyFill="1" applyBorder="1" applyAlignment="1">
      <alignment horizontal="center" vertical="center" shrinkToFit="1" readingOrder="2"/>
    </xf>
    <xf numFmtId="3" fontId="120" fillId="0" borderId="23" xfId="56" applyNumberFormat="1" applyFont="1" applyBorder="1" applyAlignment="1">
      <alignment horizontal="center" vertical="center" wrapText="1"/>
    </xf>
    <xf numFmtId="0" fontId="44" fillId="0" borderId="12" xfId="56" applyFont="1" applyBorder="1" applyAlignment="1">
      <alignment horizontal="center" vertical="center"/>
    </xf>
    <xf numFmtId="3" fontId="44" fillId="25" borderId="12" xfId="56" applyNumberFormat="1" applyFont="1" applyFill="1" applyBorder="1" applyAlignment="1">
      <alignment horizontal="center" vertical="center" wrapText="1"/>
    </xf>
    <xf numFmtId="0" fontId="83" fillId="0" borderId="0" xfId="39" applyFont="1" applyAlignment="1">
      <alignment vertical="center"/>
    </xf>
    <xf numFmtId="0" fontId="89" fillId="0" borderId="0" xfId="39" applyFont="1" applyAlignment="1">
      <alignment horizontal="right" vertical="center" readingOrder="2"/>
    </xf>
    <xf numFmtId="0" fontId="83" fillId="0" borderId="0" xfId="39" applyFont="1" applyAlignment="1">
      <alignment horizontal="right" vertical="center" readingOrder="2"/>
    </xf>
    <xf numFmtId="0" fontId="83" fillId="0" borderId="0" xfId="39" applyFont="1" applyAlignment="1">
      <alignment horizontal="justify" vertical="center" readingOrder="2"/>
    </xf>
    <xf numFmtId="0" fontId="84" fillId="0" borderId="0" xfId="39" applyFont="1" applyAlignment="1">
      <alignment vertical="center"/>
    </xf>
    <xf numFmtId="0" fontId="85" fillId="0" borderId="0" xfId="39" applyFont="1" applyAlignment="1">
      <alignment vertical="center"/>
    </xf>
    <xf numFmtId="0" fontId="83" fillId="0" borderId="10" xfId="39" applyFont="1" applyBorder="1" applyAlignment="1">
      <alignment horizontal="center" vertical="center"/>
    </xf>
    <xf numFmtId="3" fontId="22" fillId="27" borderId="12" xfId="51" applyNumberFormat="1" applyFont="1" applyFill="1" applyBorder="1" applyAlignment="1">
      <alignment horizontal="center" vertical="center" readingOrder="2"/>
    </xf>
    <xf numFmtId="0" fontId="120" fillId="0" borderId="23" xfId="56" applyFont="1" applyBorder="1" applyAlignment="1">
      <alignment horizontal="center" vertical="center" wrapText="1"/>
    </xf>
    <xf numFmtId="3" fontId="127" fillId="0" borderId="0" xfId="54" applyNumberFormat="1" applyFont="1" applyAlignment="1">
      <alignment horizontal="center" vertical="center" wrapText="1" readingOrder="2"/>
    </xf>
    <xf numFmtId="3" fontId="129" fillId="41" borderId="32" xfId="0" applyNumberFormat="1" applyFont="1" applyFill="1" applyBorder="1" applyAlignment="1">
      <alignment horizontal="right" vertical="top" wrapText="1"/>
    </xf>
    <xf numFmtId="0" fontId="129" fillId="41" borderId="32" xfId="0" applyFont="1" applyFill="1" applyBorder="1" applyAlignment="1">
      <alignment horizontal="right" vertical="top" wrapText="1"/>
    </xf>
    <xf numFmtId="3" fontId="130" fillId="41" borderId="32" xfId="0" applyNumberFormat="1" applyFont="1" applyFill="1" applyBorder="1" applyAlignment="1">
      <alignment horizontal="right" vertical="top" wrapText="1"/>
    </xf>
    <xf numFmtId="0" fontId="130" fillId="41" borderId="32" xfId="0" applyFont="1" applyFill="1" applyBorder="1" applyAlignment="1">
      <alignment horizontal="right" vertical="top" wrapText="1"/>
    </xf>
    <xf numFmtId="49" fontId="83" fillId="0" borderId="0" xfId="37" applyNumberFormat="1" applyFont="1" applyAlignment="1">
      <alignment horizontal="center" vertical="center"/>
    </xf>
    <xf numFmtId="0" fontId="89" fillId="0" borderId="0" xfId="0" applyFont="1" applyAlignment="1">
      <alignment vertical="center"/>
    </xf>
    <xf numFmtId="179" fontId="113" fillId="0" borderId="10" xfId="37" applyNumberFormat="1" applyFont="1" applyBorder="1" applyAlignment="1">
      <alignment horizontal="center" vertical="center"/>
    </xf>
    <xf numFmtId="0" fontId="83" fillId="0" borderId="0" xfId="0" applyFont="1" applyAlignment="1">
      <alignment vertical="center" wrapText="1"/>
    </xf>
    <xf numFmtId="49" fontId="83" fillId="0" borderId="0" xfId="0" applyNumberFormat="1" applyFont="1" applyAlignment="1">
      <alignment horizontal="right" vertical="center" wrapText="1"/>
    </xf>
    <xf numFmtId="3" fontId="83" fillId="0" borderId="0" xfId="0" applyNumberFormat="1" applyFont="1" applyAlignment="1">
      <alignment horizontal="right" vertical="center" wrapText="1"/>
    </xf>
    <xf numFmtId="0" fontId="113" fillId="0" borderId="0" xfId="37" applyFont="1" applyAlignment="1">
      <alignment vertical="center"/>
    </xf>
    <xf numFmtId="169" fontId="29" fillId="0" borderId="0" xfId="50" applyNumberFormat="1" applyFont="1" applyFill="1" applyBorder="1" applyAlignment="1">
      <alignment vertical="center"/>
    </xf>
    <xf numFmtId="3" fontId="50" fillId="0" borderId="20" xfId="37" applyNumberFormat="1" applyFont="1" applyBorder="1" applyAlignment="1">
      <alignment horizontal="center" vertical="center"/>
    </xf>
    <xf numFmtId="3" fontId="50" fillId="0" borderId="11" xfId="37" applyNumberFormat="1" applyFont="1" applyBorder="1" applyAlignment="1">
      <alignment horizontal="center" vertical="center"/>
    </xf>
    <xf numFmtId="0" fontId="131" fillId="0" borderId="0" xfId="0" applyFont="1" applyAlignment="1">
      <alignment horizontal="right" vertical="center"/>
    </xf>
    <xf numFmtId="3" fontId="83" fillId="0" borderId="0" xfId="0" applyNumberFormat="1" applyFont="1" applyAlignment="1">
      <alignment vertical="center"/>
    </xf>
    <xf numFmtId="169" fontId="83" fillId="0" borderId="0" xfId="0" applyNumberFormat="1" applyFont="1" applyAlignment="1">
      <alignment vertical="center"/>
    </xf>
    <xf numFmtId="166" fontId="83" fillId="0" borderId="0" xfId="37" applyNumberFormat="1" applyFont="1" applyAlignment="1">
      <alignment horizontal="right" vertical="center"/>
    </xf>
    <xf numFmtId="0" fontId="9" fillId="0" borderId="0" xfId="0" applyFont="1"/>
    <xf numFmtId="49" fontId="83" fillId="0" borderId="0" xfId="37" applyNumberFormat="1" applyFont="1" applyAlignment="1">
      <alignment vertical="center"/>
    </xf>
    <xf numFmtId="49" fontId="44" fillId="0" borderId="0" xfId="37" applyNumberFormat="1" applyFont="1" applyAlignment="1">
      <alignment horizontal="center" vertical="center"/>
    </xf>
    <xf numFmtId="3" fontId="51" fillId="0" borderId="0" xfId="0" applyNumberFormat="1" applyFont="1" applyAlignment="1">
      <alignment horizontal="right" vertical="center"/>
    </xf>
    <xf numFmtId="3" fontId="23" fillId="38" borderId="12" xfId="54" applyNumberFormat="1" applyFont="1" applyFill="1" applyBorder="1" applyAlignment="1">
      <alignment horizontal="center" vertical="center" wrapText="1" readingOrder="2"/>
    </xf>
    <xf numFmtId="3" fontId="83" fillId="0" borderId="10" xfId="0" applyNumberFormat="1" applyFont="1" applyBorder="1" applyAlignment="1">
      <alignment horizontal="right" vertical="center"/>
    </xf>
    <xf numFmtId="3" fontId="132" fillId="0" borderId="0" xfId="54" applyNumberFormat="1" applyFont="1" applyAlignment="1">
      <alignment horizontal="center" vertical="center" wrapText="1" readingOrder="2"/>
    </xf>
    <xf numFmtId="49" fontId="127" fillId="0" borderId="0" xfId="54" applyNumberFormat="1" applyFont="1" applyAlignment="1">
      <alignment horizontal="center" vertical="center" wrapText="1" readingOrder="2"/>
    </xf>
    <xf numFmtId="0" fontId="127" fillId="0" borderId="0" xfId="54" applyFont="1" applyAlignment="1">
      <alignment horizontal="center" vertical="center" shrinkToFit="1" readingOrder="2"/>
    </xf>
    <xf numFmtId="3" fontId="120" fillId="0" borderId="12" xfId="54" applyNumberFormat="1" applyFont="1" applyBorder="1" applyAlignment="1">
      <alignment horizontal="center" vertical="center" wrapText="1" readingOrder="2"/>
    </xf>
    <xf numFmtId="0" fontId="120" fillId="0" borderId="12" xfId="54" applyFont="1" applyBorder="1" applyAlignment="1">
      <alignment horizontal="center" vertical="center" wrapText="1" readingOrder="2"/>
    </xf>
    <xf numFmtId="1" fontId="120" fillId="0" borderId="12" xfId="54" applyNumberFormat="1" applyFont="1" applyBorder="1" applyAlignment="1">
      <alignment horizontal="center" vertical="center" wrapText="1" readingOrder="2"/>
    </xf>
    <xf numFmtId="3" fontId="22" fillId="38" borderId="12" xfId="54" applyNumberFormat="1" applyFont="1" applyFill="1" applyBorder="1" applyAlignment="1">
      <alignment horizontal="center" vertical="center" wrapText="1" readingOrder="2"/>
    </xf>
    <xf numFmtId="3" fontId="113" fillId="38" borderId="31" xfId="60" applyNumberFormat="1" applyFont="1" applyFill="1" applyBorder="1" applyAlignment="1">
      <alignment horizontal="center" vertical="center" shrinkToFit="1" readingOrder="2"/>
    </xf>
    <xf numFmtId="3" fontId="113" fillId="38" borderId="12" xfId="54" applyNumberFormat="1" applyFont="1" applyFill="1" applyBorder="1" applyAlignment="1">
      <alignment horizontal="center" vertical="center" wrapText="1" readingOrder="2"/>
    </xf>
    <xf numFmtId="49" fontId="113" fillId="38" borderId="12" xfId="54" applyNumberFormat="1" applyFont="1" applyFill="1" applyBorder="1" applyAlignment="1">
      <alignment horizontal="center" vertical="center" shrinkToFit="1" readingOrder="2"/>
    </xf>
    <xf numFmtId="3" fontId="113" fillId="38" borderId="12" xfId="60" applyNumberFormat="1" applyFont="1" applyFill="1" applyBorder="1" applyAlignment="1">
      <alignment horizontal="center" vertical="center" shrinkToFit="1" readingOrder="2"/>
    </xf>
    <xf numFmtId="1" fontId="113" fillId="38" borderId="12" xfId="54" applyNumberFormat="1" applyFont="1" applyFill="1" applyBorder="1" applyAlignment="1">
      <alignment horizontal="center" vertical="center" wrapText="1" readingOrder="2"/>
    </xf>
    <xf numFmtId="49" fontId="120" fillId="0" borderId="0" xfId="37" applyNumberFormat="1" applyFont="1" applyAlignment="1">
      <alignment horizontal="center" vertical="center"/>
    </xf>
    <xf numFmtId="0" fontId="83" fillId="0" borderId="10" xfId="37" applyFont="1" applyBorder="1" applyAlignment="1">
      <alignment vertical="center"/>
    </xf>
    <xf numFmtId="169" fontId="33" fillId="0" borderId="0" xfId="0" applyNumberFormat="1" applyFont="1"/>
    <xf numFmtId="0" fontId="83" fillId="0" borderId="0" xfId="0" applyFont="1" applyAlignment="1">
      <alignment horizontal="left" vertical="center"/>
    </xf>
    <xf numFmtId="1" fontId="83" fillId="0" borderId="0" xfId="0" applyNumberFormat="1" applyFont="1" applyAlignment="1">
      <alignment horizontal="center" vertical="center"/>
    </xf>
    <xf numFmtId="166" fontId="83" fillId="0" borderId="0" xfId="0" applyNumberFormat="1" applyFont="1" applyAlignment="1">
      <alignment vertical="center" shrinkToFit="1"/>
    </xf>
    <xf numFmtId="166" fontId="83" fillId="0" borderId="0" xfId="0" applyNumberFormat="1" applyFont="1" applyAlignment="1">
      <alignment horizontal="right" vertical="center" shrinkToFit="1"/>
    </xf>
    <xf numFmtId="3" fontId="116" fillId="0" borderId="18" xfId="37" applyNumberFormat="1" applyFont="1" applyBorder="1" applyAlignment="1">
      <alignment horizontal="center" vertical="center"/>
    </xf>
    <xf numFmtId="3" fontId="116" fillId="0" borderId="19" xfId="37" applyNumberFormat="1" applyFont="1" applyBorder="1" applyAlignment="1">
      <alignment horizontal="center" vertical="center"/>
    </xf>
    <xf numFmtId="3" fontId="116" fillId="0" borderId="13" xfId="37" applyNumberFormat="1" applyFont="1" applyBorder="1" applyAlignment="1">
      <alignment horizontal="center" vertical="center"/>
    </xf>
    <xf numFmtId="3" fontId="116" fillId="0" borderId="20" xfId="37" applyNumberFormat="1" applyFont="1" applyBorder="1" applyAlignment="1">
      <alignment horizontal="center" vertical="center"/>
    </xf>
    <xf numFmtId="179" fontId="27" fillId="0" borderId="25" xfId="37" applyNumberFormat="1" applyFont="1" applyBorder="1" applyAlignment="1">
      <alignment horizontal="center" vertical="center"/>
    </xf>
    <xf numFmtId="0" fontId="83" fillId="0" borderId="0" xfId="43" applyFont="1" applyAlignment="1">
      <alignment vertical="center"/>
    </xf>
    <xf numFmtId="166" fontId="83" fillId="0" borderId="0" xfId="43" applyNumberFormat="1" applyFont="1" applyAlignment="1">
      <alignment horizontal="right" vertical="center"/>
    </xf>
    <xf numFmtId="49" fontId="83" fillId="0" borderId="0" xfId="37" applyNumberFormat="1" applyFont="1" applyAlignment="1">
      <alignment horizontal="center" vertical="center" readingOrder="1"/>
    </xf>
    <xf numFmtId="0" fontId="83" fillId="0" borderId="0" xfId="0" applyFont="1"/>
    <xf numFmtId="166" fontId="83" fillId="0" borderId="10" xfId="0" applyNumberFormat="1" applyFont="1" applyBorder="1" applyAlignment="1">
      <alignment horizontal="right" vertical="center"/>
    </xf>
    <xf numFmtId="49" fontId="51" fillId="0" borderId="0" xfId="0" applyNumberFormat="1" applyFont="1" applyAlignment="1">
      <alignment horizontal="right"/>
    </xf>
    <xf numFmtId="41" fontId="83" fillId="0" borderId="0" xfId="0" applyNumberFormat="1" applyFont="1" applyAlignment="1">
      <alignment horizontal="right" vertical="center"/>
    </xf>
    <xf numFmtId="49" fontId="89" fillId="0" borderId="0" xfId="37" applyNumberFormat="1" applyFont="1" applyAlignment="1">
      <alignment horizontal="center" vertical="center"/>
    </xf>
    <xf numFmtId="38" fontId="83" fillId="0" borderId="0" xfId="0" applyNumberFormat="1" applyFont="1" applyAlignment="1">
      <alignment horizontal="right" vertical="center"/>
    </xf>
    <xf numFmtId="0" fontId="44" fillId="0" borderId="23" xfId="0" applyFont="1" applyBorder="1" applyAlignment="1">
      <alignment horizontal="center" vertical="center" shrinkToFit="1"/>
    </xf>
    <xf numFmtId="169" fontId="113" fillId="0" borderId="12" xfId="53" applyNumberFormat="1" applyFont="1" applyFill="1" applyBorder="1" applyAlignment="1" applyProtection="1">
      <alignment horizontal="center" vertical="center" shrinkToFit="1"/>
      <protection locked="0"/>
    </xf>
    <xf numFmtId="3" fontId="44" fillId="0" borderId="12" xfId="51" applyNumberFormat="1" applyFont="1" applyBorder="1" applyAlignment="1">
      <alignment horizontal="center" vertical="center" readingOrder="2"/>
    </xf>
    <xf numFmtId="178" fontId="44" fillId="0" borderId="12" xfId="53" applyNumberFormat="1" applyFont="1" applyFill="1" applyBorder="1" applyAlignment="1" applyProtection="1">
      <alignment horizontal="center" vertical="center" shrinkToFit="1"/>
      <protection locked="0"/>
    </xf>
    <xf numFmtId="169" fontId="44" fillId="0" borderId="12" xfId="53" applyNumberFormat="1" applyFont="1" applyFill="1" applyBorder="1" applyAlignment="1" applyProtection="1">
      <alignment horizontal="center" vertical="center" shrinkToFit="1"/>
      <protection locked="0"/>
    </xf>
    <xf numFmtId="3" fontId="44" fillId="0" borderId="12" xfId="53" applyNumberFormat="1" applyFont="1" applyFill="1" applyBorder="1" applyAlignment="1" applyProtection="1">
      <alignment horizontal="center" vertical="center" shrinkToFit="1"/>
      <protection locked="0"/>
    </xf>
    <xf numFmtId="3" fontId="50" fillId="27" borderId="13" xfId="51" applyNumberFormat="1" applyFont="1" applyFill="1" applyBorder="1" applyAlignment="1">
      <alignment horizontal="center" vertical="center" readingOrder="2"/>
    </xf>
    <xf numFmtId="3" fontId="44" fillId="27" borderId="13" xfId="51" applyNumberFormat="1" applyFont="1" applyFill="1" applyBorder="1" applyAlignment="1">
      <alignment horizontal="center" vertical="center" readingOrder="2"/>
    </xf>
    <xf numFmtId="3" fontId="44" fillId="24" borderId="12" xfId="51" applyNumberFormat="1" applyFont="1" applyFill="1" applyBorder="1" applyAlignment="1">
      <alignment horizontal="center" vertical="center" shrinkToFit="1" readingOrder="2"/>
    </xf>
    <xf numFmtId="0" fontId="56" fillId="0" borderId="12" xfId="39" applyFont="1" applyBorder="1" applyAlignment="1">
      <alignment horizontal="center" vertical="center" wrapText="1"/>
    </xf>
    <xf numFmtId="0" fontId="47" fillId="0" borderId="0" xfId="51" applyFont="1"/>
    <xf numFmtId="0" fontId="44" fillId="26" borderId="12" xfId="0" applyFont="1" applyFill="1" applyBorder="1" applyAlignment="1">
      <alignment horizontal="center" vertical="center" shrinkToFit="1"/>
    </xf>
    <xf numFmtId="0" fontId="44" fillId="26" borderId="12" xfId="0" applyFont="1" applyFill="1" applyBorder="1" applyAlignment="1">
      <alignment horizontal="center" vertical="center" shrinkToFit="1" readingOrder="2"/>
    </xf>
    <xf numFmtId="0" fontId="44" fillId="0" borderId="12" xfId="0" applyFont="1" applyBorder="1" applyAlignment="1">
      <alignment horizontal="center" vertical="center" shrinkToFit="1" readingOrder="2"/>
    </xf>
    <xf numFmtId="0" fontId="44" fillId="0" borderId="23" xfId="37" applyFont="1" applyBorder="1" applyAlignment="1">
      <alignment horizontal="center" vertical="center" shrinkToFit="1"/>
    </xf>
    <xf numFmtId="1" fontId="44" fillId="0" borderId="12" xfId="51" applyNumberFormat="1" applyFont="1" applyBorder="1" applyAlignment="1">
      <alignment horizontal="center" vertical="center" wrapText="1" shrinkToFit="1" readingOrder="2"/>
    </xf>
    <xf numFmtId="0" fontId="44" fillId="26" borderId="12" xfId="0" applyFont="1" applyFill="1" applyBorder="1" applyAlignment="1">
      <alignment horizontal="center" vertical="center" wrapText="1" shrinkToFit="1"/>
    </xf>
    <xf numFmtId="0" fontId="50" fillId="26" borderId="12" xfId="0" applyFont="1" applyFill="1" applyBorder="1" applyAlignment="1">
      <alignment horizontal="center" vertical="center" wrapText="1" shrinkToFit="1"/>
    </xf>
    <xf numFmtId="0" fontId="44" fillId="0" borderId="12" xfId="0" applyFont="1" applyBorder="1" applyAlignment="1">
      <alignment horizontal="center" vertical="center" wrapText="1" shrinkToFit="1"/>
    </xf>
    <xf numFmtId="3" fontId="120" fillId="0" borderId="12" xfId="56" applyNumberFormat="1" applyFont="1" applyBorder="1" applyAlignment="1">
      <alignment horizontal="center" vertical="center"/>
    </xf>
    <xf numFmtId="3" fontId="120" fillId="26" borderId="12" xfId="56" applyNumberFormat="1" applyFont="1" applyFill="1" applyBorder="1" applyAlignment="1">
      <alignment horizontal="center" vertical="center"/>
    </xf>
    <xf numFmtId="3" fontId="128" fillId="0" borderId="23" xfId="56" applyNumberFormat="1" applyFont="1" applyBorder="1" applyAlignment="1">
      <alignment horizontal="center" vertical="center" wrapText="1"/>
    </xf>
    <xf numFmtId="3" fontId="120" fillId="0" borderId="23" xfId="56" applyNumberFormat="1" applyFont="1" applyBorder="1" applyAlignment="1">
      <alignment horizontal="center" vertical="center"/>
    </xf>
    <xf numFmtId="3" fontId="44" fillId="0" borderId="13" xfId="53" applyNumberFormat="1" applyFont="1" applyFill="1" applyBorder="1" applyAlignment="1">
      <alignment horizontal="center" vertical="center" wrapText="1" readingOrder="2"/>
    </xf>
    <xf numFmtId="0" fontId="50" fillId="0" borderId="12" xfId="51" applyFont="1" applyBorder="1" applyAlignment="1">
      <alignment horizontal="center" vertical="center" wrapText="1" readingOrder="2"/>
    </xf>
    <xf numFmtId="1" fontId="50" fillId="0" borderId="12" xfId="51" applyNumberFormat="1" applyFont="1" applyBorder="1" applyAlignment="1">
      <alignment horizontal="center" vertical="center" wrapText="1" shrinkToFit="1" readingOrder="2"/>
    </xf>
    <xf numFmtId="170" fontId="44" fillId="0" borderId="12" xfId="51" applyNumberFormat="1" applyFont="1" applyBorder="1" applyAlignment="1">
      <alignment horizontal="center" vertical="center" readingOrder="2"/>
    </xf>
    <xf numFmtId="171" fontId="44" fillId="0" borderId="12" xfId="51" applyNumberFormat="1" applyFont="1" applyBorder="1" applyAlignment="1">
      <alignment horizontal="center" vertical="center" readingOrder="2"/>
    </xf>
    <xf numFmtId="170" fontId="44" fillId="0" borderId="12" xfId="52" applyNumberFormat="1" applyFont="1" applyBorder="1" applyAlignment="1">
      <alignment horizontal="center" vertical="center" readingOrder="2"/>
    </xf>
    <xf numFmtId="0" fontId="44" fillId="0" borderId="0" xfId="51" applyFont="1"/>
    <xf numFmtId="1" fontId="115" fillId="0" borderId="12" xfId="51" applyNumberFormat="1" applyFont="1" applyBorder="1" applyAlignment="1">
      <alignment horizontal="center" vertical="center" wrapText="1" shrinkToFit="1" readingOrder="2"/>
    </xf>
    <xf numFmtId="170" fontId="44" fillId="27" borderId="13" xfId="51" applyNumberFormat="1" applyFont="1" applyFill="1" applyBorder="1" applyAlignment="1">
      <alignment horizontal="center" vertical="center" readingOrder="2"/>
    </xf>
    <xf numFmtId="170" fontId="44" fillId="0" borderId="0" xfId="51" applyNumberFormat="1" applyFont="1"/>
    <xf numFmtId="171" fontId="44" fillId="27" borderId="13" xfId="51" applyNumberFormat="1" applyFont="1" applyFill="1" applyBorder="1" applyAlignment="1">
      <alignment horizontal="center" vertical="center" readingOrder="2"/>
    </xf>
    <xf numFmtId="171" fontId="44" fillId="0" borderId="13" xfId="51" applyNumberFormat="1" applyFont="1" applyBorder="1" applyAlignment="1">
      <alignment horizontal="center" vertical="center" readingOrder="2"/>
    </xf>
    <xf numFmtId="170" fontId="44" fillId="0" borderId="13" xfId="51" applyNumberFormat="1" applyFont="1" applyBorder="1" applyAlignment="1">
      <alignment horizontal="center" vertical="center" readingOrder="2"/>
    </xf>
    <xf numFmtId="3" fontId="44" fillId="24" borderId="13" xfId="51" applyNumberFormat="1" applyFont="1" applyFill="1" applyBorder="1" applyAlignment="1">
      <alignment horizontal="center" vertical="center" shrinkToFit="1" readingOrder="2"/>
    </xf>
    <xf numFmtId="0" fontId="44" fillId="0" borderId="12" xfId="51" applyFont="1" applyBorder="1" applyAlignment="1">
      <alignment horizontal="center" vertical="center"/>
    </xf>
    <xf numFmtId="3" fontId="128" fillId="0" borderId="12" xfId="56" applyNumberFormat="1" applyFont="1" applyBorder="1" applyAlignment="1">
      <alignment horizontal="center" vertical="center"/>
    </xf>
    <xf numFmtId="3" fontId="120" fillId="0" borderId="12" xfId="56" applyNumberFormat="1" applyFont="1" applyBorder="1" applyAlignment="1">
      <alignment horizontal="center" vertical="center" wrapText="1"/>
    </xf>
    <xf numFmtId="3" fontId="133" fillId="0" borderId="0" xfId="51" applyNumberFormat="1" applyFont="1"/>
    <xf numFmtId="169" fontId="133" fillId="0" borderId="0" xfId="50" applyNumberFormat="1" applyFont="1"/>
    <xf numFmtId="3" fontId="113" fillId="27" borderId="0" xfId="52" applyNumberFormat="1" applyFont="1" applyFill="1" applyAlignment="1">
      <alignment horizontal="center" vertical="center" shrinkToFit="1" readingOrder="2"/>
    </xf>
    <xf numFmtId="0" fontId="68" fillId="0" borderId="0" xfId="52" applyFont="1" applyAlignment="1">
      <alignment horizontal="center" vertical="center" readingOrder="2"/>
    </xf>
    <xf numFmtId="0" fontId="134" fillId="27" borderId="12" xfId="52" applyFont="1" applyFill="1" applyBorder="1" applyAlignment="1">
      <alignment horizontal="center" vertical="center" shrinkToFit="1" readingOrder="2"/>
    </xf>
    <xf numFmtId="3" fontId="76" fillId="0" borderId="12" xfId="52" applyNumberFormat="1" applyFont="1" applyBorder="1" applyAlignment="1">
      <alignment horizontal="center" vertical="center" shrinkToFit="1" readingOrder="2"/>
    </xf>
    <xf numFmtId="3" fontId="135" fillId="0" borderId="0" xfId="52" applyNumberFormat="1" applyFont="1" applyAlignment="1">
      <alignment horizontal="center" vertical="center"/>
    </xf>
    <xf numFmtId="3" fontId="116" fillId="0" borderId="0" xfId="37" applyNumberFormat="1" applyFont="1" applyAlignment="1">
      <alignment horizontal="center" vertical="center"/>
    </xf>
    <xf numFmtId="3" fontId="116" fillId="0" borderId="10" xfId="37" applyNumberFormat="1" applyFont="1" applyBorder="1" applyAlignment="1">
      <alignment horizontal="center" vertical="center"/>
    </xf>
    <xf numFmtId="37" fontId="116" fillId="0" borderId="18" xfId="37" applyNumberFormat="1" applyFont="1" applyBorder="1" applyAlignment="1">
      <alignment horizontal="center" vertical="center"/>
    </xf>
    <xf numFmtId="175" fontId="116" fillId="0" borderId="0" xfId="37" applyNumberFormat="1" applyFont="1" applyAlignment="1">
      <alignment horizontal="center" vertical="center"/>
    </xf>
    <xf numFmtId="179" fontId="116" fillId="0" borderId="13" xfId="37" applyNumberFormat="1" applyFont="1" applyBorder="1" applyAlignment="1">
      <alignment horizontal="center" vertical="center"/>
    </xf>
    <xf numFmtId="175" fontId="116" fillId="0" borderId="10" xfId="37" applyNumberFormat="1" applyFont="1" applyBorder="1" applyAlignment="1">
      <alignment horizontal="center" vertical="center"/>
    </xf>
    <xf numFmtId="37" fontId="116" fillId="0" borderId="11" xfId="37" applyNumberFormat="1" applyFont="1" applyBorder="1" applyAlignment="1">
      <alignment horizontal="center" vertical="center"/>
    </xf>
    <xf numFmtId="0" fontId="89" fillId="0" borderId="0" xfId="37" applyFont="1" applyAlignment="1">
      <alignment vertical="center" readingOrder="2"/>
    </xf>
    <xf numFmtId="1" fontId="83" fillId="0" borderId="0" xfId="37" applyNumberFormat="1" applyFont="1" applyAlignment="1">
      <alignment horizontal="center" vertical="center" readingOrder="2"/>
    </xf>
    <xf numFmtId="3" fontId="113" fillId="0" borderId="0" xfId="37" applyNumberFormat="1" applyFont="1" applyAlignment="1">
      <alignment horizontal="right" vertical="center"/>
    </xf>
    <xf numFmtId="0" fontId="113" fillId="0" borderId="0" xfId="37" applyFont="1" applyAlignment="1">
      <alignment horizontal="right" vertical="center"/>
    </xf>
    <xf numFmtId="49" fontId="113" fillId="0" borderId="0" xfId="37" applyNumberFormat="1" applyFont="1" applyAlignment="1">
      <alignment horizontal="right" vertical="center"/>
    </xf>
    <xf numFmtId="168" fontId="83" fillId="0" borderId="0" xfId="37" applyNumberFormat="1" applyFont="1" applyAlignment="1">
      <alignment horizontal="right" vertical="center"/>
    </xf>
    <xf numFmtId="166" fontId="83" fillId="0" borderId="0" xfId="37" applyNumberFormat="1" applyFont="1" applyAlignment="1">
      <alignment vertical="center"/>
    </xf>
    <xf numFmtId="3" fontId="113" fillId="0" borderId="0" xfId="37" applyNumberFormat="1" applyFont="1" applyAlignment="1">
      <alignment horizontal="center" vertical="center"/>
    </xf>
    <xf numFmtId="169" fontId="51" fillId="0" borderId="0" xfId="50" applyNumberFormat="1" applyFont="1" applyAlignment="1">
      <alignment horizontal="right" vertical="center"/>
    </xf>
    <xf numFmtId="41" fontId="51" fillId="0" borderId="0" xfId="0" applyNumberFormat="1" applyFont="1" applyAlignment="1">
      <alignment horizontal="right" vertical="center"/>
    </xf>
    <xf numFmtId="0" fontId="83" fillId="0" borderId="0" xfId="43" applyFont="1" applyAlignment="1">
      <alignment vertical="center" readingOrder="2"/>
    </xf>
    <xf numFmtId="49" fontId="83" fillId="0" borderId="10" xfId="43" applyNumberFormat="1" applyFont="1" applyBorder="1" applyAlignment="1">
      <alignment horizontal="center" vertical="center" readingOrder="2"/>
    </xf>
    <xf numFmtId="49" fontId="83" fillId="0" borderId="0" xfId="43" applyNumberFormat="1" applyFont="1" applyAlignment="1">
      <alignment horizontal="center" vertical="center" readingOrder="2"/>
    </xf>
    <xf numFmtId="0" fontId="83" fillId="0" borderId="0" xfId="43" applyFont="1" applyAlignment="1">
      <alignment horizontal="center" vertical="center" readingOrder="2"/>
    </xf>
    <xf numFmtId="166" fontId="83" fillId="0" borderId="0" xfId="54" applyNumberFormat="1" applyFont="1" applyAlignment="1">
      <alignment horizontal="right" vertical="center"/>
    </xf>
    <xf numFmtId="3" fontId="83" fillId="0" borderId="0" xfId="41" applyNumberFormat="1" applyFont="1" applyAlignment="1">
      <alignment horizontal="center" vertical="center"/>
    </xf>
    <xf numFmtId="3" fontId="83" fillId="0" borderId="0" xfId="43" applyNumberFormat="1" applyFont="1" applyAlignment="1">
      <alignment vertical="center"/>
    </xf>
    <xf numFmtId="3" fontId="83" fillId="0" borderId="10" xfId="41" applyNumberFormat="1" applyFont="1" applyBorder="1" applyAlignment="1">
      <alignment horizontal="center" vertical="center"/>
    </xf>
    <xf numFmtId="3" fontId="83" fillId="0" borderId="10" xfId="43" applyNumberFormat="1" applyFont="1" applyBorder="1" applyAlignment="1">
      <alignment horizontal="center" vertical="center" readingOrder="2"/>
    </xf>
    <xf numFmtId="3" fontId="83" fillId="0" borderId="0" xfId="43" applyNumberFormat="1" applyFont="1" applyAlignment="1">
      <alignment horizontal="right" vertical="center" readingOrder="2"/>
    </xf>
    <xf numFmtId="3" fontId="83" fillId="0" borderId="22" xfId="43" applyNumberFormat="1" applyFont="1" applyBorder="1" applyAlignment="1">
      <alignment horizontal="center" vertical="center" readingOrder="2"/>
    </xf>
    <xf numFmtId="9" fontId="51" fillId="0" borderId="0" xfId="62" applyFont="1" applyAlignment="1">
      <alignment horizontal="right" vertical="center"/>
    </xf>
    <xf numFmtId="0" fontId="83" fillId="0" borderId="0" xfId="0" applyFont="1" applyAlignment="1">
      <alignment horizontal="right" shrinkToFit="1" readingOrder="2"/>
    </xf>
    <xf numFmtId="9" fontId="83" fillId="0" borderId="0" xfId="62" applyFont="1" applyAlignment="1">
      <alignment horizontal="right" vertical="center"/>
    </xf>
    <xf numFmtId="38" fontId="83" fillId="0" borderId="0" xfId="0" applyNumberFormat="1" applyFont="1" applyAlignment="1">
      <alignment horizontal="right"/>
    </xf>
    <xf numFmtId="0" fontId="83" fillId="0" borderId="0" xfId="0" applyFont="1" applyAlignment="1">
      <alignment horizontal="right" vertical="center" readingOrder="2"/>
    </xf>
    <xf numFmtId="49" fontId="83" fillId="0" borderId="0" xfId="0" applyNumberFormat="1" applyFont="1" applyAlignment="1">
      <alignment horizontal="left" vertical="center"/>
    </xf>
    <xf numFmtId="3" fontId="136" fillId="0" borderId="0" xfId="0" applyNumberFormat="1" applyFont="1" applyAlignment="1">
      <alignment horizontal="right" vertical="center"/>
    </xf>
    <xf numFmtId="49" fontId="51" fillId="0" borderId="0" xfId="0" applyNumberFormat="1" applyFont="1" applyAlignment="1">
      <alignment horizontal="right" vertical="center" wrapText="1"/>
    </xf>
    <xf numFmtId="3" fontId="51" fillId="0" borderId="0" xfId="0" applyNumberFormat="1" applyFont="1" applyAlignment="1">
      <alignment horizontal="right" vertical="center" wrapText="1"/>
    </xf>
    <xf numFmtId="171" fontId="83" fillId="0" borderId="0" xfId="0" applyNumberFormat="1" applyFont="1" applyAlignment="1">
      <alignment horizontal="center" vertical="center"/>
    </xf>
    <xf numFmtId="176" fontId="83" fillId="0" borderId="0" xfId="50" applyNumberFormat="1" applyFont="1" applyFill="1" applyBorder="1" applyAlignment="1">
      <alignment horizontal="right" vertical="center"/>
    </xf>
    <xf numFmtId="3" fontId="116" fillId="0" borderId="21" xfId="37" applyNumberFormat="1" applyFont="1" applyBorder="1" applyAlignment="1">
      <alignment horizontal="center" vertical="center"/>
    </xf>
    <xf numFmtId="3" fontId="116" fillId="0" borderId="11" xfId="37" applyNumberFormat="1" applyFont="1" applyBorder="1" applyAlignment="1">
      <alignment horizontal="center" vertical="center"/>
    </xf>
    <xf numFmtId="0" fontId="128" fillId="0" borderId="0" xfId="37" applyFont="1" applyAlignment="1">
      <alignment horizontal="center" vertical="center"/>
    </xf>
    <xf numFmtId="3" fontId="117" fillId="0" borderId="0" xfId="37" applyNumberFormat="1" applyFont="1" applyAlignment="1">
      <alignment horizontal="center" vertical="center"/>
    </xf>
    <xf numFmtId="3" fontId="115" fillId="0" borderId="0" xfId="37" applyNumberFormat="1" applyFont="1" applyAlignment="1">
      <alignment horizontal="center" vertical="center"/>
    </xf>
    <xf numFmtId="0" fontId="128" fillId="0" borderId="0" xfId="0" applyFont="1" applyAlignment="1">
      <alignment vertical="center"/>
    </xf>
    <xf numFmtId="14" fontId="128" fillId="0" borderId="0" xfId="0" applyNumberFormat="1" applyFont="1" applyAlignment="1">
      <alignment horizontal="center" vertical="center"/>
    </xf>
    <xf numFmtId="14" fontId="25" fillId="0" borderId="0" xfId="0" applyNumberFormat="1" applyFont="1" applyAlignment="1">
      <alignment horizontal="center" vertical="center"/>
    </xf>
    <xf numFmtId="0" fontId="25" fillId="0" borderId="10" xfId="0" applyFont="1" applyBorder="1" applyAlignment="1">
      <alignment vertical="center"/>
    </xf>
    <xf numFmtId="0" fontId="25" fillId="0" borderId="20" xfId="0" applyFont="1" applyBorder="1" applyAlignment="1">
      <alignment horizontal="center" vertical="center"/>
    </xf>
    <xf numFmtId="0" fontId="128" fillId="0" borderId="0" xfId="0" applyFont="1" applyAlignment="1">
      <alignment horizontal="center" vertical="center"/>
    </xf>
    <xf numFmtId="0" fontId="25" fillId="0" borderId="10" xfId="0" applyFont="1" applyBorder="1" applyAlignment="1">
      <alignment horizontal="center" vertical="center"/>
    </xf>
    <xf numFmtId="0" fontId="134" fillId="0" borderId="0" xfId="0" applyFont="1" applyAlignment="1">
      <alignment horizontal="center" vertical="center"/>
    </xf>
    <xf numFmtId="0" fontId="134" fillId="0" borderId="0" xfId="0" applyFont="1" applyAlignment="1">
      <alignment vertical="center"/>
    </xf>
    <xf numFmtId="3" fontId="91" fillId="0" borderId="0" xfId="0" applyNumberFormat="1" applyFont="1" applyAlignment="1">
      <alignment horizontal="center" vertical="center"/>
    </xf>
    <xf numFmtId="3" fontId="125" fillId="0" borderId="0" xfId="52" applyNumberFormat="1" applyFont="1" applyAlignment="1">
      <alignment horizontal="center" vertical="center"/>
    </xf>
    <xf numFmtId="3" fontId="94" fillId="0" borderId="20" xfId="0" applyNumberFormat="1" applyFont="1" applyBorder="1" applyAlignment="1">
      <alignment horizontal="center" vertical="center"/>
    </xf>
    <xf numFmtId="3" fontId="94" fillId="0" borderId="0" xfId="0" applyNumberFormat="1" applyFont="1" applyAlignment="1">
      <alignment horizontal="center" vertical="center"/>
    </xf>
    <xf numFmtId="172" fontId="91" fillId="0" borderId="0" xfId="37" applyNumberFormat="1" applyFont="1" applyAlignment="1">
      <alignment horizontal="center" vertical="center"/>
    </xf>
    <xf numFmtId="172" fontId="25" fillId="0" borderId="20" xfId="37" applyNumberFormat="1" applyFont="1" applyBorder="1" applyAlignment="1">
      <alignment horizontal="center" vertical="center"/>
    </xf>
    <xf numFmtId="3" fontId="134" fillId="0" borderId="0" xfId="0" applyNumberFormat="1" applyFont="1" applyAlignment="1">
      <alignment vertical="center"/>
    </xf>
    <xf numFmtId="3" fontId="120" fillId="0" borderId="0" xfId="0" applyNumberFormat="1" applyFont="1" applyAlignment="1">
      <alignment vertical="center"/>
    </xf>
    <xf numFmtId="3" fontId="94" fillId="0" borderId="11" xfId="0" applyNumberFormat="1" applyFont="1" applyBorder="1" applyAlignment="1">
      <alignment horizontal="center" vertical="center"/>
    </xf>
    <xf numFmtId="0" fontId="85" fillId="0" borderId="0" xfId="0" applyFont="1" applyAlignment="1">
      <alignment horizontal="center" vertical="center"/>
    </xf>
    <xf numFmtId="168" fontId="47" fillId="0" borderId="0" xfId="0" applyNumberFormat="1" applyFont="1" applyAlignment="1">
      <alignment horizontal="center" vertical="center"/>
    </xf>
    <xf numFmtId="164" fontId="22" fillId="0" borderId="20" xfId="0" applyNumberFormat="1" applyFont="1" applyBorder="1" applyAlignment="1">
      <alignment horizontal="center" vertical="center"/>
    </xf>
    <xf numFmtId="0" fontId="44" fillId="0" borderId="0" xfId="0" applyFont="1" applyAlignment="1">
      <alignment vertical="center"/>
    </xf>
    <xf numFmtId="0" fontId="23" fillId="0" borderId="0" xfId="0" applyFont="1" applyAlignment="1">
      <alignment horizontal="center" vertical="center"/>
    </xf>
    <xf numFmtId="0" fontId="22" fillId="0" borderId="0" xfId="0" applyFont="1" applyAlignment="1">
      <alignment vertical="center"/>
    </xf>
    <xf numFmtId="0" fontId="85" fillId="0" borderId="0" xfId="0" applyFont="1" applyAlignment="1">
      <alignment horizontal="left" vertical="center"/>
    </xf>
    <xf numFmtId="167" fontId="47" fillId="0" borderId="0" xfId="0" applyNumberFormat="1" applyFont="1" applyAlignment="1">
      <alignment horizontal="center" vertical="center"/>
    </xf>
    <xf numFmtId="164" fontId="123" fillId="0" borderId="0" xfId="43" applyNumberFormat="1" applyFont="1" applyAlignment="1">
      <alignment vertical="center"/>
    </xf>
    <xf numFmtId="0" fontId="85" fillId="0" borderId="0" xfId="0" applyFont="1" applyAlignment="1">
      <alignment vertical="center"/>
    </xf>
    <xf numFmtId="3" fontId="123" fillId="0" borderId="0" xfId="43" applyNumberFormat="1" applyFont="1" applyAlignment="1">
      <alignment vertical="center"/>
    </xf>
    <xf numFmtId="168" fontId="137" fillId="0" borderId="0" xfId="0" applyNumberFormat="1" applyFont="1" applyAlignment="1">
      <alignment horizontal="center" vertical="center"/>
    </xf>
    <xf numFmtId="164" fontId="22" fillId="0" borderId="0" xfId="0" applyNumberFormat="1" applyFont="1" applyAlignment="1">
      <alignment horizontal="center" vertical="center"/>
    </xf>
    <xf numFmtId="167" fontId="22" fillId="0" borderId="20" xfId="0" applyNumberFormat="1" applyFont="1" applyBorder="1" applyAlignment="1">
      <alignment horizontal="center" vertical="center"/>
    </xf>
    <xf numFmtId="169" fontId="29" fillId="0" borderId="0" xfId="50" applyNumberFormat="1" applyFont="1" applyBorder="1" applyAlignment="1">
      <alignment vertical="center"/>
    </xf>
    <xf numFmtId="3" fontId="93" fillId="0" borderId="0" xfId="0" applyNumberFormat="1" applyFont="1"/>
    <xf numFmtId="164" fontId="44" fillId="0" borderId="0" xfId="0" applyNumberFormat="1" applyFont="1" applyAlignment="1">
      <alignment horizontal="center" vertical="center"/>
    </xf>
    <xf numFmtId="0" fontId="44" fillId="0" borderId="0" xfId="0" applyFont="1" applyAlignment="1">
      <alignment horizontal="center" vertical="center"/>
    </xf>
    <xf numFmtId="164" fontId="116" fillId="0" borderId="0" xfId="0" applyNumberFormat="1" applyFont="1" applyAlignment="1">
      <alignment horizontal="center" vertical="center"/>
    </xf>
    <xf numFmtId="0" fontId="83" fillId="26" borderId="0" xfId="0" applyFont="1" applyFill="1" applyAlignment="1">
      <alignment vertical="center"/>
    </xf>
    <xf numFmtId="49" fontId="83" fillId="0" borderId="0" xfId="37" applyNumberFormat="1" applyFont="1" applyAlignment="1">
      <alignment horizontal="right" vertical="center"/>
    </xf>
    <xf numFmtId="3" fontId="123" fillId="0" borderId="0" xfId="43" applyNumberFormat="1" applyFont="1" applyAlignment="1">
      <alignment horizontal="center" vertical="center"/>
    </xf>
    <xf numFmtId="168" fontId="123" fillId="0" borderId="0" xfId="43" applyNumberFormat="1" applyFont="1" applyAlignment="1">
      <alignment horizontal="center" vertical="center"/>
    </xf>
    <xf numFmtId="164" fontId="85" fillId="0" borderId="0" xfId="0" applyNumberFormat="1" applyFont="1" applyAlignment="1">
      <alignment horizontal="center" vertical="center"/>
    </xf>
    <xf numFmtId="0" fontId="83" fillId="0" borderId="0" xfId="0" applyFont="1" applyAlignment="1">
      <alignment vertical="center" shrinkToFit="1"/>
    </xf>
    <xf numFmtId="0" fontId="85" fillId="0" borderId="0" xfId="0" applyFont="1" applyAlignment="1">
      <alignment vertical="center" shrinkToFit="1"/>
    </xf>
    <xf numFmtId="0" fontId="85" fillId="0" borderId="0" xfId="0" applyFont="1" applyAlignment="1">
      <alignment horizontal="right" vertical="center"/>
    </xf>
    <xf numFmtId="49" fontId="85" fillId="0" borderId="0" xfId="43" applyNumberFormat="1" applyFont="1" applyAlignment="1">
      <alignment horizontal="left" vertical="center"/>
    </xf>
    <xf numFmtId="168" fontId="22" fillId="0" borderId="11" xfId="43" applyNumberFormat="1" applyFont="1" applyBorder="1" applyAlignment="1">
      <alignment horizontal="center" vertical="center"/>
    </xf>
    <xf numFmtId="14" fontId="23" fillId="0" borderId="0" xfId="0" applyNumberFormat="1" applyFont="1" applyAlignment="1">
      <alignment horizontal="center" vertical="center"/>
    </xf>
    <xf numFmtId="3" fontId="83" fillId="42" borderId="0" xfId="37" applyNumberFormat="1" applyFont="1" applyFill="1" applyAlignment="1">
      <alignment horizontal="center" vertical="center"/>
    </xf>
    <xf numFmtId="3" fontId="85" fillId="42" borderId="0" xfId="37" applyNumberFormat="1" applyFont="1" applyFill="1" applyAlignment="1">
      <alignment horizontal="center" vertical="center"/>
    </xf>
    <xf numFmtId="3" fontId="29" fillId="42" borderId="0" xfId="37" applyNumberFormat="1" applyFont="1" applyFill="1" applyAlignment="1">
      <alignment horizontal="center" vertical="center"/>
    </xf>
    <xf numFmtId="3" fontId="83" fillId="0" borderId="20" xfId="37" applyNumberFormat="1" applyFont="1" applyBorder="1" applyAlignment="1">
      <alignment horizontal="center" vertical="center"/>
    </xf>
    <xf numFmtId="172" fontId="29" fillId="0" borderId="20" xfId="37" applyNumberFormat="1" applyFont="1" applyBorder="1" applyAlignment="1">
      <alignment horizontal="center" vertical="center"/>
    </xf>
    <xf numFmtId="178" fontId="116" fillId="0" borderId="0" xfId="37" applyNumberFormat="1" applyFont="1" applyAlignment="1">
      <alignment horizontal="center" vertical="center"/>
    </xf>
    <xf numFmtId="37" fontId="116" fillId="0" borderId="0" xfId="37" applyNumberFormat="1" applyFont="1" applyAlignment="1">
      <alignment horizontal="center" vertical="center"/>
    </xf>
    <xf numFmtId="179" fontId="116" fillId="0" borderId="0" xfId="37" applyNumberFormat="1" applyFont="1" applyAlignment="1">
      <alignment horizontal="center" vertical="center"/>
    </xf>
    <xf numFmtId="178" fontId="116" fillId="0" borderId="11" xfId="37" applyNumberFormat="1" applyFont="1" applyBorder="1" applyAlignment="1">
      <alignment horizontal="center" vertical="center"/>
    </xf>
    <xf numFmtId="179" fontId="116" fillId="0" borderId="10" xfId="37" applyNumberFormat="1" applyFont="1" applyBorder="1" applyAlignment="1">
      <alignment horizontal="center" vertical="center"/>
    </xf>
    <xf numFmtId="3" fontId="52" fillId="0" borderId="0" xfId="54" applyNumberFormat="1" applyFont="1" applyAlignment="1">
      <alignment horizontal="center" vertical="center" wrapText="1" readingOrder="2"/>
    </xf>
    <xf numFmtId="0" fontId="52" fillId="0" borderId="0" xfId="54" applyFont="1"/>
    <xf numFmtId="0" fontId="76" fillId="0" borderId="0" xfId="54" applyFont="1"/>
    <xf numFmtId="3" fontId="29" fillId="0" borderId="0" xfId="54" applyNumberFormat="1" applyFont="1" applyAlignment="1">
      <alignment horizontal="center" vertical="center" wrapText="1" readingOrder="2"/>
    </xf>
    <xf numFmtId="0" fontId="138" fillId="0" borderId="0" xfId="54" applyFont="1"/>
    <xf numFmtId="49" fontId="113" fillId="38" borderId="12" xfId="54" applyNumberFormat="1" applyFont="1" applyFill="1" applyBorder="1" applyAlignment="1">
      <alignment horizontal="center" vertical="center" wrapText="1" readingOrder="2"/>
    </xf>
    <xf numFmtId="3" fontId="76" fillId="0" borderId="0" xfId="54" applyNumberFormat="1" applyFont="1" applyAlignment="1">
      <alignment horizontal="center" vertical="center" wrapText="1" readingOrder="2"/>
    </xf>
    <xf numFmtId="0" fontId="120" fillId="0" borderId="12" xfId="54" applyFont="1" applyBorder="1"/>
    <xf numFmtId="49" fontId="120" fillId="0" borderId="12" xfId="54" applyNumberFormat="1" applyFont="1" applyBorder="1" applyAlignment="1">
      <alignment horizontal="center" vertical="center" shrinkToFit="1" readingOrder="2"/>
    </xf>
    <xf numFmtId="49" fontId="120" fillId="0" borderId="12" xfId="54" applyNumberFormat="1" applyFont="1" applyBorder="1" applyAlignment="1">
      <alignment horizontal="center" vertical="center" wrapText="1" readingOrder="2"/>
    </xf>
    <xf numFmtId="3" fontId="22" fillId="25" borderId="12" xfId="54" applyNumberFormat="1" applyFont="1" applyFill="1" applyBorder="1" applyAlignment="1">
      <alignment horizontal="center" vertical="center" readingOrder="2"/>
    </xf>
    <xf numFmtId="0" fontId="22" fillId="25" borderId="12" xfId="54" applyFont="1" applyFill="1" applyBorder="1" applyAlignment="1">
      <alignment horizontal="center" vertical="center" wrapText="1" readingOrder="2"/>
    </xf>
    <xf numFmtId="3" fontId="44" fillId="0" borderId="12" xfId="54" applyNumberFormat="1" applyFont="1" applyBorder="1" applyAlignment="1">
      <alignment horizontal="center" vertical="center" readingOrder="2"/>
    </xf>
    <xf numFmtId="9" fontId="44" fillId="24" borderId="12" xfId="54" applyNumberFormat="1" applyFont="1" applyFill="1" applyBorder="1" applyAlignment="1">
      <alignment horizontal="center" vertical="center" readingOrder="2"/>
    </xf>
    <xf numFmtId="0" fontId="44" fillId="28" borderId="12" xfId="54" applyFont="1" applyFill="1" applyBorder="1" applyAlignment="1">
      <alignment horizontal="center" vertical="center" readingOrder="2"/>
    </xf>
    <xf numFmtId="0" fontId="46" fillId="0" borderId="0" xfId="40" applyFont="1" applyAlignment="1">
      <alignment horizontal="center"/>
    </xf>
    <xf numFmtId="0" fontId="22" fillId="0" borderId="0" xfId="40" applyFont="1" applyAlignment="1">
      <alignment horizontal="left"/>
    </xf>
    <xf numFmtId="0" fontId="83" fillId="0" borderId="0" xfId="0" applyFont="1" applyAlignment="1">
      <alignment horizontal="right" vertical="center" wrapText="1"/>
    </xf>
    <xf numFmtId="169" fontId="83" fillId="0" borderId="11" xfId="0" applyNumberFormat="1" applyFont="1" applyBorder="1" applyAlignment="1">
      <alignment vertical="center"/>
    </xf>
    <xf numFmtId="164" fontId="23" fillId="0" borderId="20" xfId="0" applyNumberFormat="1" applyFont="1" applyBorder="1" applyAlignment="1">
      <alignment horizontal="center" vertical="center"/>
    </xf>
    <xf numFmtId="0" fontId="85" fillId="0" borderId="0" xfId="43" applyFont="1"/>
    <xf numFmtId="0" fontId="123" fillId="0" borderId="0" xfId="43" applyFont="1"/>
    <xf numFmtId="0" fontId="85" fillId="0" borderId="0" xfId="43" applyFont="1" applyAlignment="1">
      <alignment vertical="top"/>
    </xf>
    <xf numFmtId="49" fontId="85" fillId="0" borderId="10" xfId="43" applyNumberFormat="1" applyFont="1" applyBorder="1" applyAlignment="1">
      <alignment horizontal="center" vertical="center"/>
    </xf>
    <xf numFmtId="49" fontId="85" fillId="0" borderId="0" xfId="43" applyNumberFormat="1" applyFont="1" applyAlignment="1">
      <alignment horizontal="center" vertical="center"/>
    </xf>
    <xf numFmtId="3" fontId="139" fillId="0" borderId="0" xfId="43" applyNumberFormat="1" applyFont="1" applyAlignment="1">
      <alignment horizontal="center" vertical="center" readingOrder="2"/>
    </xf>
    <xf numFmtId="0" fontId="85" fillId="0" borderId="0" xfId="43" applyFont="1" applyAlignment="1">
      <alignment horizontal="center" vertical="center"/>
    </xf>
    <xf numFmtId="3" fontId="134" fillId="0" borderId="0" xfId="43" applyNumberFormat="1" applyFont="1" applyAlignment="1">
      <alignment horizontal="center" vertical="center"/>
    </xf>
    <xf numFmtId="3" fontId="139" fillId="0" borderId="0" xfId="43" applyNumberFormat="1" applyFont="1" applyAlignment="1">
      <alignment horizontal="center" vertical="center"/>
    </xf>
    <xf numFmtId="3" fontId="85" fillId="0" borderId="0" xfId="43" applyNumberFormat="1" applyFont="1"/>
    <xf numFmtId="3" fontId="134" fillId="0" borderId="11" xfId="43" applyNumberFormat="1" applyFont="1" applyBorder="1" applyAlignment="1">
      <alignment horizontal="center" vertical="center"/>
    </xf>
    <xf numFmtId="3" fontId="123" fillId="0" borderId="0" xfId="43" applyNumberFormat="1" applyFont="1"/>
    <xf numFmtId="166" fontId="85" fillId="0" borderId="0" xfId="43" applyNumberFormat="1" applyFont="1" applyAlignment="1">
      <alignment vertical="center"/>
    </xf>
    <xf numFmtId="3" fontId="85" fillId="0" borderId="0" xfId="43" applyNumberFormat="1" applyFont="1" applyAlignment="1">
      <alignment horizontal="center"/>
    </xf>
    <xf numFmtId="0" fontId="140" fillId="43" borderId="0" xfId="37" applyFont="1" applyFill="1"/>
    <xf numFmtId="3" fontId="140" fillId="43" borderId="11" xfId="37" applyNumberFormat="1" applyFont="1" applyFill="1" applyBorder="1" applyAlignment="1">
      <alignment horizontal="center"/>
    </xf>
    <xf numFmtId="168" fontId="123" fillId="26" borderId="0" xfId="43" applyNumberFormat="1" applyFont="1" applyFill="1" applyAlignment="1">
      <alignment horizontal="center" vertical="center"/>
    </xf>
    <xf numFmtId="3" fontId="123" fillId="26" borderId="0" xfId="43" applyNumberFormat="1" applyFont="1" applyFill="1" applyAlignment="1">
      <alignment horizontal="center" vertical="center"/>
    </xf>
    <xf numFmtId="0" fontId="123" fillId="26" borderId="0" xfId="43" applyFont="1" applyFill="1"/>
    <xf numFmtId="166" fontId="85" fillId="0" borderId="0" xfId="43" applyNumberFormat="1" applyFont="1" applyAlignment="1">
      <alignment horizontal="center" vertical="center"/>
    </xf>
    <xf numFmtId="168" fontId="85" fillId="0" borderId="11" xfId="43" applyNumberFormat="1" applyFont="1" applyBorder="1" applyAlignment="1">
      <alignment horizontal="center" vertical="center"/>
    </xf>
    <xf numFmtId="49" fontId="123" fillId="0" borderId="0" xfId="43" applyNumberFormat="1" applyFont="1" applyAlignment="1">
      <alignment horizontal="left" vertical="center"/>
    </xf>
    <xf numFmtId="0" fontId="85" fillId="0" borderId="0" xfId="43" applyFont="1" applyAlignment="1">
      <alignment horizontal="right"/>
    </xf>
    <xf numFmtId="0" fontId="122" fillId="0" borderId="0" xfId="37" applyFont="1" applyAlignment="1">
      <alignment vertical="center"/>
    </xf>
    <xf numFmtId="49" fontId="44" fillId="0" borderId="0" xfId="37" applyNumberFormat="1" applyFont="1" applyAlignment="1">
      <alignment vertical="center" readingOrder="1"/>
    </xf>
    <xf numFmtId="0" fontId="141" fillId="26" borderId="12" xfId="0" applyFont="1" applyFill="1" applyBorder="1" applyAlignment="1">
      <alignment horizontal="center" vertical="center" shrinkToFit="1"/>
    </xf>
    <xf numFmtId="0" fontId="128" fillId="0" borderId="12" xfId="0" applyFont="1" applyBorder="1" applyAlignment="1">
      <alignment horizontal="center" vertical="center" shrinkToFit="1"/>
    </xf>
    <xf numFmtId="180" fontId="128" fillId="0" borderId="23" xfId="53" applyNumberFormat="1" applyFont="1" applyFill="1" applyBorder="1" applyAlignment="1" applyProtection="1">
      <alignment horizontal="center" vertical="center" shrinkToFit="1"/>
      <protection locked="0"/>
    </xf>
    <xf numFmtId="180" fontId="128" fillId="0" borderId="12" xfId="53" applyNumberFormat="1" applyFont="1" applyFill="1" applyBorder="1" applyAlignment="1" applyProtection="1">
      <alignment horizontal="center" vertical="center" shrinkToFit="1"/>
      <protection locked="0"/>
    </xf>
    <xf numFmtId="0" fontId="137" fillId="0" borderId="12" xfId="37" applyFont="1" applyBorder="1" applyAlignment="1">
      <alignment horizontal="right" vertical="center"/>
    </xf>
    <xf numFmtId="3" fontId="137" fillId="0" borderId="12" xfId="37" applyNumberFormat="1" applyFont="1" applyBorder="1" applyAlignment="1">
      <alignment horizontal="center" vertical="center"/>
    </xf>
    <xf numFmtId="3" fontId="137" fillId="0" borderId="0" xfId="37" applyNumberFormat="1" applyFont="1" applyAlignment="1">
      <alignment horizontal="center" vertical="center"/>
    </xf>
    <xf numFmtId="0" fontId="137" fillId="0" borderId="0" xfId="37" applyFont="1" applyAlignment="1">
      <alignment horizontal="center" vertical="center"/>
    </xf>
    <xf numFmtId="3" fontId="113" fillId="0" borderId="12" xfId="37" applyNumberFormat="1" applyFont="1" applyBorder="1" applyAlignment="1">
      <alignment horizontal="center" vertical="center"/>
    </xf>
    <xf numFmtId="0" fontId="91" fillId="0" borderId="0" xfId="37" applyFont="1" applyAlignment="1">
      <alignment horizontal="center" vertical="center"/>
    </xf>
    <xf numFmtId="3" fontId="44" fillId="0" borderId="12" xfId="37" applyNumberFormat="1" applyFont="1" applyBorder="1" applyAlignment="1">
      <alignment horizontal="center" vertical="center"/>
    </xf>
    <xf numFmtId="0" fontId="91" fillId="0" borderId="12" xfId="37" applyFont="1" applyBorder="1" applyAlignment="1">
      <alignment horizontal="right" vertical="center"/>
    </xf>
    <xf numFmtId="0" fontId="137" fillId="0" borderId="12" xfId="37" applyFont="1" applyBorder="1" applyAlignment="1">
      <alignment horizontal="center" vertical="center"/>
    </xf>
    <xf numFmtId="0" fontId="83" fillId="0" borderId="14" xfId="39" applyFont="1" applyBorder="1" applyAlignment="1">
      <alignment vertical="center"/>
    </xf>
    <xf numFmtId="0" fontId="83" fillId="0" borderId="15" xfId="39" applyFont="1" applyBorder="1" applyAlignment="1">
      <alignment vertical="center"/>
    </xf>
    <xf numFmtId="0" fontId="22" fillId="0" borderId="17" xfId="39" applyFont="1" applyBorder="1" applyAlignment="1">
      <alignment horizontal="center" vertical="center" readingOrder="2"/>
    </xf>
    <xf numFmtId="0" fontId="83" fillId="0" borderId="17" xfId="39" applyFont="1" applyBorder="1" applyAlignment="1">
      <alignment vertical="center"/>
    </xf>
    <xf numFmtId="0" fontId="83" fillId="0" borderId="16" xfId="39" applyFont="1" applyBorder="1" applyAlignment="1">
      <alignment vertical="center"/>
    </xf>
    <xf numFmtId="0" fontId="89" fillId="0" borderId="17" xfId="39" applyFont="1" applyBorder="1" applyAlignment="1">
      <alignment horizontal="center" vertical="center" readingOrder="2"/>
    </xf>
    <xf numFmtId="49" fontId="89" fillId="0" borderId="17" xfId="39" applyNumberFormat="1" applyFont="1" applyBorder="1" applyAlignment="1">
      <alignment horizontal="center" vertical="center" readingOrder="2"/>
    </xf>
    <xf numFmtId="0" fontId="83" fillId="0" borderId="17" xfId="39" applyFont="1" applyBorder="1" applyAlignment="1">
      <alignment horizontal="right" vertical="center"/>
    </xf>
    <xf numFmtId="0" fontId="83" fillId="0" borderId="10" xfId="39" applyFont="1" applyBorder="1" applyAlignment="1">
      <alignment horizontal="right" vertical="center" readingOrder="2"/>
    </xf>
    <xf numFmtId="0" fontId="83" fillId="0" borderId="10" xfId="39" applyFont="1" applyBorder="1" applyAlignment="1">
      <alignment vertical="center"/>
    </xf>
    <xf numFmtId="0" fontId="83" fillId="0" borderId="0" xfId="39" applyFont="1" applyAlignment="1">
      <alignment horizontal="center" vertical="center"/>
    </xf>
    <xf numFmtId="167" fontId="83" fillId="0" borderId="0" xfId="0" applyNumberFormat="1" applyFont="1" applyAlignment="1">
      <alignment horizontal="center" vertical="center"/>
    </xf>
    <xf numFmtId="167" fontId="83" fillId="0" borderId="11" xfId="0" applyNumberFormat="1" applyFont="1" applyBorder="1" applyAlignment="1">
      <alignment horizontal="center" vertical="center"/>
    </xf>
    <xf numFmtId="49" fontId="85" fillId="0" borderId="0" xfId="43" applyNumberFormat="1" applyFont="1" applyAlignment="1">
      <alignment horizontal="center"/>
    </xf>
    <xf numFmtId="49" fontId="83" fillId="29" borderId="0" xfId="0" applyNumberFormat="1" applyFont="1" applyFill="1" applyAlignment="1">
      <alignment horizontal="center" vertical="center"/>
    </xf>
    <xf numFmtId="49" fontId="83" fillId="29" borderId="10" xfId="0" applyNumberFormat="1" applyFont="1" applyFill="1" applyBorder="1" applyAlignment="1">
      <alignment horizontal="center" vertical="center"/>
    </xf>
    <xf numFmtId="3" fontId="89" fillId="0" borderId="0" xfId="61" applyNumberFormat="1" applyFont="1" applyAlignment="1">
      <alignment horizontal="right"/>
    </xf>
    <xf numFmtId="0" fontId="72" fillId="0" borderId="0" xfId="0" applyFont="1" applyAlignment="1">
      <alignment horizontal="center" vertical="center"/>
    </xf>
    <xf numFmtId="0" fontId="115" fillId="0" borderId="0" xfId="37" applyFont="1" applyAlignment="1">
      <alignment horizontal="center" vertical="center" readingOrder="2"/>
    </xf>
    <xf numFmtId="179" fontId="27" fillId="0" borderId="13" xfId="37" applyNumberFormat="1" applyFont="1" applyBorder="1" applyAlignment="1">
      <alignment horizontal="center" vertical="center"/>
    </xf>
    <xf numFmtId="175" fontId="116" fillId="0" borderId="11" xfId="0" applyNumberFormat="1" applyFont="1" applyBorder="1" applyAlignment="1">
      <alignment horizontal="center" vertical="center"/>
    </xf>
    <xf numFmtId="172" fontId="29" fillId="0" borderId="11" xfId="37" applyNumberFormat="1" applyFont="1" applyBorder="1" applyAlignment="1">
      <alignment horizontal="center" vertical="center"/>
    </xf>
    <xf numFmtId="166" fontId="123" fillId="0" borderId="0" xfId="0" applyNumberFormat="1" applyFont="1" applyAlignment="1">
      <alignment horizontal="right" vertical="center" wrapText="1"/>
    </xf>
    <xf numFmtId="0" fontId="143" fillId="0" borderId="0" xfId="52" applyFont="1" applyAlignment="1">
      <alignment horizontal="center" readingOrder="2"/>
    </xf>
    <xf numFmtId="0" fontId="144" fillId="0" borderId="0" xfId="52" applyFont="1" applyAlignment="1">
      <alignment horizontal="right" readingOrder="2"/>
    </xf>
    <xf numFmtId="3" fontId="144" fillId="0" borderId="0" xfId="52" applyNumberFormat="1" applyFont="1" applyAlignment="1">
      <alignment horizontal="center" readingOrder="2"/>
    </xf>
    <xf numFmtId="3" fontId="127" fillId="0" borderId="0" xfId="52" applyNumberFormat="1" applyFont="1" applyAlignment="1">
      <alignment horizontal="center" readingOrder="2"/>
    </xf>
    <xf numFmtId="0" fontId="127" fillId="0" borderId="0" xfId="52" applyFont="1" applyAlignment="1">
      <alignment horizontal="center" readingOrder="2"/>
    </xf>
    <xf numFmtId="3" fontId="127" fillId="0" borderId="0" xfId="52" applyNumberFormat="1" applyFont="1" applyAlignment="1">
      <alignment horizontal="center"/>
    </xf>
    <xf numFmtId="0" fontId="90" fillId="0" borderId="0" xfId="52" applyFont="1" applyAlignment="1">
      <alignment horizontal="center" readingOrder="2"/>
    </xf>
    <xf numFmtId="0" fontId="9" fillId="0" borderId="0" xfId="52"/>
    <xf numFmtId="0" fontId="90" fillId="0" borderId="0" xfId="52" applyFont="1" applyAlignment="1">
      <alignment readingOrder="2"/>
    </xf>
    <xf numFmtId="3" fontId="90" fillId="0" borderId="0" xfId="52" applyNumberFormat="1" applyFont="1" applyAlignment="1">
      <alignment horizontal="center" readingOrder="2"/>
    </xf>
    <xf numFmtId="3" fontId="145" fillId="0" borderId="0" xfId="52" applyNumberFormat="1" applyFont="1" applyAlignment="1">
      <alignment horizontal="center" vertical="center"/>
    </xf>
    <xf numFmtId="3" fontId="46" fillId="0" borderId="21" xfId="52" applyNumberFormat="1" applyFont="1" applyBorder="1" applyAlignment="1">
      <alignment vertical="center" readingOrder="2"/>
    </xf>
    <xf numFmtId="49" fontId="120" fillId="0" borderId="0" xfId="37" applyNumberFormat="1" applyFont="1" applyAlignment="1">
      <alignment horizontal="center" vertical="top"/>
    </xf>
    <xf numFmtId="49" fontId="47" fillId="0" borderId="0" xfId="0" applyNumberFormat="1" applyFont="1" applyAlignment="1">
      <alignment horizontal="center" vertical="center"/>
    </xf>
    <xf numFmtId="0" fontId="49" fillId="0" borderId="0" xfId="37" applyFont="1" applyAlignment="1">
      <alignment horizontal="center" vertical="center"/>
    </xf>
    <xf numFmtId="3" fontId="47" fillId="0" borderId="0" xfId="37" applyNumberFormat="1" applyFont="1" applyAlignment="1">
      <alignment horizontal="center" vertical="center"/>
    </xf>
    <xf numFmtId="3" fontId="47" fillId="0" borderId="0" xfId="0" applyNumberFormat="1" applyFont="1" applyAlignment="1">
      <alignment horizontal="right" vertical="center"/>
    </xf>
    <xf numFmtId="0" fontId="46" fillId="0" borderId="0" xfId="37" applyFont="1" applyAlignment="1">
      <alignment horizontal="right" vertical="center" readingOrder="2"/>
    </xf>
    <xf numFmtId="0" fontId="46" fillId="0" borderId="0" xfId="37" applyFont="1" applyAlignment="1">
      <alignment vertical="center"/>
    </xf>
    <xf numFmtId="0" fontId="146" fillId="0" borderId="0" xfId="37" applyFont="1" applyAlignment="1">
      <alignment vertical="center"/>
    </xf>
    <xf numFmtId="0" fontId="47" fillId="0" borderId="0" xfId="37" applyFont="1" applyAlignment="1">
      <alignment horizontal="center" vertical="center"/>
    </xf>
    <xf numFmtId="0" fontId="147" fillId="0" borderId="0" xfId="37" applyFont="1"/>
    <xf numFmtId="0" fontId="147" fillId="0" borderId="0" xfId="0" applyFont="1"/>
    <xf numFmtId="3" fontId="47" fillId="0" borderId="11" xfId="37" applyNumberFormat="1" applyFont="1" applyBorder="1" applyAlignment="1">
      <alignment horizontal="center" vertical="center"/>
    </xf>
    <xf numFmtId="49" fontId="83" fillId="0" borderId="0" xfId="0" applyNumberFormat="1" applyFont="1" applyAlignment="1">
      <alignment horizontal="center" vertical="top"/>
    </xf>
    <xf numFmtId="172" fontId="29" fillId="0" borderId="10" xfId="37" applyNumberFormat="1" applyFont="1" applyBorder="1" applyAlignment="1">
      <alignment horizontal="center" vertical="center"/>
    </xf>
    <xf numFmtId="0" fontId="83" fillId="0" borderId="0" xfId="37" applyFont="1" applyAlignment="1">
      <alignment horizontal="right" vertical="center"/>
    </xf>
    <xf numFmtId="166" fontId="85" fillId="0" borderId="0" xfId="43" applyNumberFormat="1" applyFont="1"/>
    <xf numFmtId="3" fontId="140" fillId="43" borderId="0" xfId="37" applyNumberFormat="1" applyFont="1" applyFill="1" applyAlignment="1">
      <alignment horizontal="center"/>
    </xf>
    <xf numFmtId="0" fontId="22" fillId="0" borderId="0" xfId="37" applyFont="1" applyAlignment="1">
      <alignment horizontal="right" vertical="center"/>
    </xf>
    <xf numFmtId="0" fontId="89" fillId="0" borderId="10" xfId="37" applyFont="1" applyBorder="1" applyAlignment="1">
      <alignment horizontal="center" vertical="center"/>
    </xf>
    <xf numFmtId="3" fontId="47" fillId="0" borderId="0" xfId="0" applyNumberFormat="1" applyFont="1" applyAlignment="1">
      <alignment horizontal="right" vertical="center"/>
    </xf>
    <xf numFmtId="0" fontId="46" fillId="0" borderId="0" xfId="0" applyFont="1" applyAlignment="1">
      <alignment horizontal="center" wrapText="1"/>
    </xf>
    <xf numFmtId="0" fontId="46" fillId="0" borderId="0" xfId="0" applyFont="1" applyAlignment="1">
      <alignment horizontal="center"/>
    </xf>
    <xf numFmtId="0" fontId="46" fillId="0" borderId="0" xfId="37" applyFont="1" applyAlignment="1">
      <alignment horizontal="right" vertical="center"/>
    </xf>
    <xf numFmtId="0" fontId="126" fillId="0" borderId="0" xfId="39" applyFont="1" applyAlignment="1">
      <alignment horizontal="center" readingOrder="2"/>
    </xf>
    <xf numFmtId="0" fontId="83" fillId="0" borderId="10" xfId="39" applyFont="1" applyBorder="1" applyAlignment="1">
      <alignment horizontal="center" vertical="center"/>
    </xf>
    <xf numFmtId="0" fontId="22" fillId="0" borderId="0" xfId="37" applyFont="1" applyAlignment="1">
      <alignment horizontal="center" vertical="center"/>
    </xf>
    <xf numFmtId="0" fontId="115" fillId="0" borderId="0" xfId="37" applyFont="1" applyAlignment="1">
      <alignment horizontal="center" vertical="center" readingOrder="2"/>
    </xf>
    <xf numFmtId="0" fontId="50" fillId="0" borderId="0" xfId="37" applyFont="1" applyAlignment="1">
      <alignment horizontal="center" vertical="center"/>
    </xf>
    <xf numFmtId="0" fontId="22" fillId="0" borderId="0" xfId="51" applyFont="1" applyAlignment="1">
      <alignment horizontal="center" vertical="distributed"/>
    </xf>
    <xf numFmtId="0" fontId="22" fillId="0" borderId="0" xfId="51" applyFont="1" applyAlignment="1">
      <alignment horizontal="center" vertical="top" readingOrder="2"/>
    </xf>
    <xf numFmtId="0" fontId="118" fillId="0" borderId="0" xfId="37" applyFont="1" applyAlignment="1">
      <alignment horizontal="center"/>
    </xf>
    <xf numFmtId="0" fontId="23" fillId="0" borderId="0" xfId="37" applyFont="1" applyAlignment="1">
      <alignment horizontal="center" vertical="center"/>
    </xf>
    <xf numFmtId="0" fontId="25" fillId="0" borderId="0" xfId="37" applyFont="1" applyAlignment="1">
      <alignment horizontal="center"/>
    </xf>
    <xf numFmtId="14" fontId="50" fillId="0" borderId="10" xfId="37" applyNumberFormat="1" applyFont="1" applyBorder="1" applyAlignment="1">
      <alignment horizontal="center" vertical="center"/>
    </xf>
    <xf numFmtId="14" fontId="50" fillId="0" borderId="0" xfId="37" applyNumberFormat="1" applyFont="1" applyAlignment="1">
      <alignment horizontal="center" vertical="center"/>
    </xf>
    <xf numFmtId="0" fontId="121" fillId="0" borderId="0" xfId="0" applyFont="1" applyAlignment="1">
      <alignment horizontal="center" vertical="center"/>
    </xf>
    <xf numFmtId="0" fontId="89" fillId="0" borderId="0" xfId="0" applyFont="1" applyAlignment="1">
      <alignment horizontal="center" vertical="center"/>
    </xf>
    <xf numFmtId="14" fontId="25" fillId="0" borderId="10" xfId="0" applyNumberFormat="1" applyFont="1" applyBorder="1" applyAlignment="1">
      <alignment horizontal="center" vertical="center"/>
    </xf>
    <xf numFmtId="0" fontId="83" fillId="0" borderId="0" xfId="0" applyFont="1" applyAlignment="1">
      <alignment horizontal="center" vertical="center"/>
    </xf>
    <xf numFmtId="49" fontId="85" fillId="0" borderId="0" xfId="0" applyNumberFormat="1" applyFont="1" applyAlignment="1">
      <alignment horizontal="center" vertical="center"/>
    </xf>
    <xf numFmtId="0" fontId="122" fillId="0" borderId="0" xfId="37" applyFont="1" applyAlignment="1">
      <alignment horizontal="center" vertical="center"/>
    </xf>
    <xf numFmtId="14" fontId="23" fillId="0" borderId="0" xfId="0" applyNumberFormat="1" applyFont="1" applyAlignment="1">
      <alignment horizontal="center" vertical="center" wrapText="1"/>
    </xf>
    <xf numFmtId="14" fontId="23" fillId="0" borderId="10" xfId="0" applyNumberFormat="1" applyFont="1" applyBorder="1" applyAlignment="1">
      <alignment horizontal="center" vertical="center" wrapText="1"/>
    </xf>
    <xf numFmtId="14" fontId="22" fillId="0" borderId="0" xfId="0" applyNumberFormat="1" applyFont="1" applyAlignment="1">
      <alignment horizontal="center" vertical="center" wrapText="1"/>
    </xf>
    <xf numFmtId="14" fontId="22" fillId="0" borderId="10" xfId="0" applyNumberFormat="1" applyFont="1" applyBorder="1" applyAlignment="1">
      <alignment horizontal="center" vertical="center" wrapText="1"/>
    </xf>
    <xf numFmtId="0" fontId="83" fillId="37" borderId="0" xfId="0" applyFont="1" applyFill="1" applyAlignment="1">
      <alignment horizontal="right" vertical="center"/>
    </xf>
    <xf numFmtId="0" fontId="44" fillId="0" borderId="0" xfId="0" applyFont="1" applyAlignment="1">
      <alignment horizontal="center" vertical="center"/>
    </xf>
    <xf numFmtId="0" fontId="23" fillId="0" borderId="0" xfId="0" applyFont="1" applyAlignment="1">
      <alignment horizontal="center" vertical="center" wrapText="1"/>
    </xf>
    <xf numFmtId="0" fontId="23" fillId="0" borderId="10" xfId="0" applyFont="1" applyBorder="1" applyAlignment="1">
      <alignment horizontal="center" vertical="center" wrapText="1"/>
    </xf>
    <xf numFmtId="0" fontId="83" fillId="0" borderId="0" xfId="0" applyFont="1" applyAlignment="1">
      <alignment horizontal="right" vertical="center"/>
    </xf>
    <xf numFmtId="0" fontId="22" fillId="0" borderId="0" xfId="0" applyFont="1" applyAlignment="1">
      <alignment horizontal="center" vertical="center" wrapText="1"/>
    </xf>
    <xf numFmtId="0" fontId="22" fillId="0" borderId="10" xfId="0" applyFont="1" applyBorder="1" applyAlignment="1">
      <alignment horizontal="center" vertical="center" wrapText="1"/>
    </xf>
    <xf numFmtId="0" fontId="85" fillId="0" borderId="0" xfId="43" applyFont="1" applyAlignment="1">
      <alignment vertical="top" wrapText="1"/>
    </xf>
    <xf numFmtId="0" fontId="113" fillId="0" borderId="12" xfId="37" applyFont="1" applyBorder="1" applyAlignment="1">
      <alignment horizontal="center" vertical="center"/>
    </xf>
    <xf numFmtId="0" fontId="113" fillId="0" borderId="12" xfId="37" applyFont="1" applyBorder="1" applyAlignment="1">
      <alignment horizontal="center" vertical="center" wrapText="1"/>
    </xf>
    <xf numFmtId="3" fontId="113" fillId="0" borderId="12" xfId="37" applyNumberFormat="1" applyFont="1" applyBorder="1" applyAlignment="1">
      <alignment horizontal="center" vertical="center"/>
    </xf>
    <xf numFmtId="3" fontId="142" fillId="0" borderId="12" xfId="37" applyNumberFormat="1" applyFont="1" applyBorder="1" applyAlignment="1">
      <alignment horizontal="center" vertical="center"/>
    </xf>
    <xf numFmtId="0" fontId="83" fillId="0" borderId="0" xfId="0" applyFont="1" applyAlignment="1">
      <alignment horizontal="right" vertical="center" wrapText="1"/>
    </xf>
    <xf numFmtId="49" fontId="83" fillId="0" borderId="0" xfId="37" applyNumberFormat="1" applyFont="1" applyAlignment="1">
      <alignment horizontal="center" vertical="center"/>
    </xf>
    <xf numFmtId="3" fontId="29" fillId="0" borderId="0" xfId="37" applyNumberFormat="1" applyFont="1" applyAlignment="1">
      <alignment horizontal="right" wrapText="1"/>
    </xf>
    <xf numFmtId="0" fontId="29" fillId="0" borderId="0" xfId="37" applyFont="1" applyAlignment="1">
      <alignment horizontal="right" wrapText="1"/>
    </xf>
    <xf numFmtId="49" fontId="54" fillId="0" borderId="0" xfId="0" applyNumberFormat="1" applyFont="1" applyAlignment="1">
      <alignment horizontal="center" vertical="center"/>
    </xf>
    <xf numFmtId="166" fontId="83" fillId="0" borderId="0" xfId="37" applyNumberFormat="1" applyFont="1" applyAlignment="1">
      <alignment horizontal="right" vertical="center"/>
    </xf>
    <xf numFmtId="0" fontId="89" fillId="0" borderId="0" xfId="37" applyFont="1" applyAlignment="1">
      <alignment horizontal="center" vertical="center"/>
    </xf>
    <xf numFmtId="3" fontId="83" fillId="0" borderId="0" xfId="0" applyNumberFormat="1" applyFont="1" applyAlignment="1">
      <alignment horizontal="center" vertical="center"/>
    </xf>
    <xf numFmtId="49" fontId="83" fillId="0" borderId="0" xfId="0" applyNumberFormat="1" applyFont="1" applyAlignment="1">
      <alignment horizontal="center" vertical="center"/>
    </xf>
    <xf numFmtId="0" fontId="83" fillId="0" borderId="0" xfId="37" applyFont="1" applyAlignment="1">
      <alignment horizontal="center" vertical="center"/>
    </xf>
    <xf numFmtId="0" fontId="29" fillId="0" borderId="0" xfId="37" applyFont="1" applyAlignment="1">
      <alignment horizontal="center" vertical="center"/>
    </xf>
    <xf numFmtId="3" fontId="83" fillId="0" borderId="0" xfId="37" applyNumberFormat="1" applyFont="1" applyAlignment="1">
      <alignment horizontal="right" vertical="center" wrapText="1"/>
    </xf>
    <xf numFmtId="49" fontId="120" fillId="0" borderId="0" xfId="37" applyNumberFormat="1" applyFont="1" applyAlignment="1">
      <alignment horizontal="center" vertical="center"/>
    </xf>
    <xf numFmtId="0" fontId="29" fillId="0" borderId="0" xfId="37" applyFont="1" applyAlignment="1">
      <alignment horizontal="right" vertical="center" wrapText="1"/>
    </xf>
    <xf numFmtId="0" fontId="83" fillId="0" borderId="0" xfId="0" applyFont="1" applyAlignment="1">
      <alignment horizontal="right" wrapText="1"/>
    </xf>
    <xf numFmtId="0" fontId="83" fillId="0" borderId="0" xfId="37" applyFont="1" applyAlignment="1">
      <alignment horizontal="right" vertical="center" wrapText="1"/>
    </xf>
    <xf numFmtId="3" fontId="46" fillId="0" borderId="0" xfId="52" applyNumberFormat="1" applyFont="1" applyAlignment="1">
      <alignment horizontal="center" vertical="center" readingOrder="2"/>
    </xf>
    <xf numFmtId="0" fontId="87" fillId="0" borderId="0" xfId="52" applyFont="1" applyAlignment="1">
      <alignment horizontal="center" vertical="center" readingOrder="2"/>
    </xf>
    <xf numFmtId="0" fontId="89" fillId="0" borderId="10" xfId="52" applyFont="1" applyBorder="1" applyAlignment="1">
      <alignment horizontal="right" vertical="center" readingOrder="2"/>
    </xf>
    <xf numFmtId="0" fontId="83" fillId="27" borderId="27" xfId="52" applyFont="1" applyFill="1" applyBorder="1" applyAlignment="1">
      <alignment horizontal="center" vertical="center" shrinkToFit="1" readingOrder="2"/>
    </xf>
    <xf numFmtId="0" fontId="83" fillId="27" borderId="28" xfId="52" applyFont="1" applyFill="1" applyBorder="1" applyAlignment="1">
      <alignment horizontal="center" vertical="center" shrinkToFit="1" readingOrder="2"/>
    </xf>
    <xf numFmtId="0" fontId="83" fillId="27" borderId="25" xfId="52" applyFont="1" applyFill="1" applyBorder="1" applyAlignment="1">
      <alignment horizontal="center" vertical="center" shrinkToFit="1" readingOrder="2"/>
    </xf>
    <xf numFmtId="0" fontId="83" fillId="27" borderId="26" xfId="52" applyFont="1" applyFill="1" applyBorder="1" applyAlignment="1">
      <alignment horizontal="center" vertical="center" shrinkToFit="1" readingOrder="2"/>
    </xf>
    <xf numFmtId="0" fontId="91" fillId="27" borderId="23" xfId="52" applyFont="1" applyFill="1" applyBorder="1" applyAlignment="1">
      <alignment horizontal="center" vertical="center" wrapText="1" shrinkToFit="1" readingOrder="2"/>
    </xf>
    <xf numFmtId="0" fontId="91" fillId="27" borderId="20" xfId="52" applyFont="1" applyFill="1" applyBorder="1" applyAlignment="1">
      <alignment horizontal="center" vertical="center" wrapText="1" shrinkToFit="1" readingOrder="2"/>
    </xf>
    <xf numFmtId="0" fontId="91" fillId="27" borderId="24" xfId="52" applyFont="1" applyFill="1" applyBorder="1" applyAlignment="1">
      <alignment horizontal="center" vertical="center" wrapText="1" shrinkToFit="1" readingOrder="2"/>
    </xf>
    <xf numFmtId="0" fontId="91" fillId="27" borderId="12" xfId="52" applyFont="1" applyFill="1" applyBorder="1" applyAlignment="1">
      <alignment horizontal="center" vertical="center" shrinkToFit="1" readingOrder="2"/>
    </xf>
    <xf numFmtId="0" fontId="120" fillId="0" borderId="12" xfId="52" applyFont="1" applyBorder="1" applyAlignment="1">
      <alignment horizontal="center" vertical="center" wrapText="1" readingOrder="2"/>
    </xf>
    <xf numFmtId="0" fontId="113" fillId="27" borderId="12" xfId="52" applyFont="1" applyFill="1" applyBorder="1" applyAlignment="1">
      <alignment horizontal="center" vertical="center" shrinkToFit="1" readingOrder="2"/>
    </xf>
    <xf numFmtId="1" fontId="89" fillId="0" borderId="0" xfId="54" applyNumberFormat="1" applyFont="1" applyAlignment="1">
      <alignment horizontal="center" vertical="center" wrapText="1" readingOrder="2"/>
    </xf>
    <xf numFmtId="0" fontId="22" fillId="38" borderId="18" xfId="54" applyFont="1" applyFill="1" applyBorder="1" applyAlignment="1">
      <alignment horizontal="center" vertical="center" shrinkToFit="1" readingOrder="2"/>
    </xf>
    <xf numFmtId="0" fontId="22" fillId="38" borderId="13" xfId="54" applyFont="1" applyFill="1" applyBorder="1" applyAlignment="1">
      <alignment horizontal="center" vertical="center" shrinkToFit="1" readingOrder="2"/>
    </xf>
    <xf numFmtId="1" fontId="22" fillId="38" borderId="18" xfId="54" applyNumberFormat="1" applyFont="1" applyFill="1" applyBorder="1" applyAlignment="1">
      <alignment horizontal="center" vertical="center" wrapText="1" readingOrder="2"/>
    </xf>
    <xf numFmtId="1" fontId="22" fillId="38" borderId="13" xfId="54" applyNumberFormat="1" applyFont="1" applyFill="1" applyBorder="1" applyAlignment="1">
      <alignment horizontal="center" vertical="center" wrapText="1" readingOrder="2"/>
    </xf>
    <xf numFmtId="49" fontId="22" fillId="38" borderId="18" xfId="54" applyNumberFormat="1" applyFont="1" applyFill="1" applyBorder="1" applyAlignment="1">
      <alignment horizontal="center" vertical="center" wrapText="1" readingOrder="2"/>
    </xf>
    <xf numFmtId="49" fontId="22" fillId="38" borderId="13" xfId="54" applyNumberFormat="1" applyFont="1" applyFill="1" applyBorder="1" applyAlignment="1">
      <alignment horizontal="center" vertical="center" wrapText="1" readingOrder="2"/>
    </xf>
    <xf numFmtId="3" fontId="22" fillId="38" borderId="18" xfId="54" applyNumberFormat="1" applyFont="1" applyFill="1" applyBorder="1" applyAlignment="1">
      <alignment horizontal="center" vertical="center" wrapText="1" readingOrder="2"/>
    </xf>
    <xf numFmtId="3" fontId="22" fillId="38" borderId="13" xfId="54" applyNumberFormat="1" applyFont="1" applyFill="1" applyBorder="1" applyAlignment="1">
      <alignment horizontal="center" vertical="center" wrapText="1" readingOrder="2"/>
    </xf>
    <xf numFmtId="3" fontId="22" fillId="38" borderId="23" xfId="54" applyNumberFormat="1" applyFont="1" applyFill="1" applyBorder="1" applyAlignment="1">
      <alignment horizontal="center" vertical="center" wrapText="1" readingOrder="2"/>
    </xf>
    <xf numFmtId="3" fontId="22" fillId="38" borderId="20" xfId="54" applyNumberFormat="1" applyFont="1" applyFill="1" applyBorder="1" applyAlignment="1">
      <alignment horizontal="center" vertical="center" wrapText="1" readingOrder="2"/>
    </xf>
    <xf numFmtId="1" fontId="89" fillId="0" borderId="10" xfId="54" applyNumberFormat="1" applyFont="1" applyBorder="1" applyAlignment="1">
      <alignment horizontal="center" vertical="center" wrapText="1" readingOrder="2"/>
    </xf>
    <xf numFmtId="0" fontId="23" fillId="38" borderId="12" xfId="54" applyFont="1" applyFill="1" applyBorder="1" applyAlignment="1">
      <alignment horizontal="center" vertical="center" shrinkToFit="1" readingOrder="2"/>
    </xf>
    <xf numFmtId="1" fontId="23" fillId="38" borderId="12" xfId="54" applyNumberFormat="1" applyFont="1" applyFill="1" applyBorder="1" applyAlignment="1">
      <alignment horizontal="center" vertical="center" wrapText="1" readingOrder="2"/>
    </xf>
    <xf numFmtId="3" fontId="23" fillId="38" borderId="12" xfId="54" applyNumberFormat="1" applyFont="1" applyFill="1" applyBorder="1" applyAlignment="1">
      <alignment horizontal="center" vertical="center" wrapText="1" readingOrder="2"/>
    </xf>
    <xf numFmtId="0" fontId="89" fillId="0" borderId="0" xfId="0" applyFont="1" applyAlignment="1">
      <alignment horizontal="center" wrapText="1"/>
    </xf>
    <xf numFmtId="0" fontId="89" fillId="0" borderId="0" xfId="0" applyFont="1" applyAlignment="1">
      <alignment horizontal="center"/>
    </xf>
    <xf numFmtId="0" fontId="83" fillId="0" borderId="21" xfId="37" applyFont="1" applyBorder="1" applyAlignment="1">
      <alignment horizontal="right" vertical="center"/>
    </xf>
    <xf numFmtId="0" fontId="89" fillId="0" borderId="0" xfId="37" applyFont="1" applyAlignment="1">
      <alignment horizontal="right" vertical="center"/>
    </xf>
    <xf numFmtId="3" fontId="83" fillId="0" borderId="0" xfId="0" applyNumberFormat="1" applyFont="1" applyAlignment="1">
      <alignment horizontal="right" vertical="center"/>
    </xf>
    <xf numFmtId="0" fontId="72" fillId="0" borderId="0" xfId="37" applyFont="1" applyAlignment="1">
      <alignment horizontal="center" vertical="center"/>
    </xf>
    <xf numFmtId="0" fontId="89" fillId="0" borderId="0" xfId="52" applyFont="1" applyAlignment="1">
      <alignment horizontal="right" vertical="center" readingOrder="2"/>
    </xf>
    <xf numFmtId="0" fontId="22" fillId="25" borderId="23" xfId="54" applyFont="1" applyFill="1" applyBorder="1" applyAlignment="1">
      <alignment horizontal="center" vertical="center" readingOrder="2"/>
    </xf>
    <xf numFmtId="0" fontId="22" fillId="25" borderId="20" xfId="54" applyFont="1" applyFill="1" applyBorder="1" applyAlignment="1">
      <alignment horizontal="center" vertical="center" readingOrder="2"/>
    </xf>
    <xf numFmtId="0" fontId="113" fillId="0" borderId="23" xfId="54" applyFont="1" applyBorder="1" applyAlignment="1">
      <alignment horizontal="center" vertical="center" readingOrder="2"/>
    </xf>
    <xf numFmtId="0" fontId="113" fillId="0" borderId="20" xfId="54" applyFont="1" applyBorder="1" applyAlignment="1">
      <alignment horizontal="center" vertical="center" readingOrder="2"/>
    </xf>
    <xf numFmtId="0" fontId="22" fillId="28" borderId="18" xfId="54" applyFont="1" applyFill="1" applyBorder="1" applyAlignment="1">
      <alignment horizontal="center" vertical="center" readingOrder="2"/>
    </xf>
    <xf numFmtId="0" fontId="22" fillId="28" borderId="13" xfId="54" applyFont="1" applyFill="1" applyBorder="1" applyAlignment="1">
      <alignment horizontal="center" vertical="center" readingOrder="2"/>
    </xf>
    <xf numFmtId="0" fontId="22" fillId="28" borderId="18" xfId="54" applyFont="1" applyFill="1" applyBorder="1" applyAlignment="1">
      <alignment horizontal="center" vertical="center" wrapText="1" readingOrder="2"/>
    </xf>
    <xf numFmtId="0" fontId="22" fillId="28" borderId="13" xfId="54" applyFont="1" applyFill="1" applyBorder="1" applyAlignment="1">
      <alignment horizontal="center" vertical="center" wrapText="1" readingOrder="2"/>
    </xf>
    <xf numFmtId="0" fontId="22" fillId="0" borderId="0" xfId="37" applyFont="1" applyAlignment="1">
      <alignment horizontal="center" vertical="top" shrinkToFit="1" readingOrder="2"/>
    </xf>
    <xf numFmtId="0" fontId="104" fillId="0" borderId="0" xfId="51" applyFont="1" applyAlignment="1">
      <alignment horizontal="center" vertical="center" readingOrder="2"/>
    </xf>
    <xf numFmtId="0" fontId="104" fillId="0" borderId="0" xfId="51" applyFont="1" applyAlignment="1">
      <alignment horizontal="right" vertical="center" readingOrder="2"/>
    </xf>
    <xf numFmtId="0" fontId="22" fillId="27" borderId="12" xfId="51" applyFont="1" applyFill="1" applyBorder="1" applyAlignment="1">
      <alignment horizontal="center" vertical="center" wrapText="1" readingOrder="2"/>
    </xf>
    <xf numFmtId="0" fontId="22" fillId="27" borderId="23" xfId="51" applyFont="1" applyFill="1" applyBorder="1" applyAlignment="1">
      <alignment horizontal="center" vertical="center" readingOrder="2"/>
    </xf>
    <xf numFmtId="0" fontId="22" fillId="27" borderId="20" xfId="51" applyFont="1" applyFill="1" applyBorder="1" applyAlignment="1">
      <alignment horizontal="center" vertical="center" readingOrder="2"/>
    </xf>
    <xf numFmtId="0" fontId="22" fillId="27" borderId="24" xfId="51" applyFont="1" applyFill="1" applyBorder="1" applyAlignment="1">
      <alignment horizontal="center" vertical="center" readingOrder="2"/>
    </xf>
    <xf numFmtId="0" fontId="22" fillId="27" borderId="18" xfId="51" applyFont="1" applyFill="1" applyBorder="1" applyAlignment="1">
      <alignment horizontal="center" vertical="center" wrapText="1" readingOrder="2"/>
    </xf>
    <xf numFmtId="0" fontId="22" fillId="27" borderId="19" xfId="51" applyFont="1" applyFill="1" applyBorder="1" applyAlignment="1">
      <alignment horizontal="center" vertical="center" wrapText="1" readingOrder="2"/>
    </xf>
    <xf numFmtId="0" fontId="22" fillId="27" borderId="13" xfId="51" applyFont="1" applyFill="1" applyBorder="1" applyAlignment="1">
      <alignment horizontal="center" vertical="center" wrapText="1" readingOrder="2"/>
    </xf>
    <xf numFmtId="0" fontId="22" fillId="27" borderId="12" xfId="51" applyFont="1" applyFill="1" applyBorder="1" applyAlignment="1">
      <alignment horizontal="center" vertical="center" readingOrder="2"/>
    </xf>
    <xf numFmtId="0" fontId="22" fillId="27" borderId="18" xfId="51" applyFont="1" applyFill="1" applyBorder="1" applyAlignment="1">
      <alignment horizontal="center" vertical="center" readingOrder="2"/>
    </xf>
    <xf numFmtId="0" fontId="22" fillId="27" borderId="19" xfId="51" applyFont="1" applyFill="1" applyBorder="1" applyAlignment="1">
      <alignment horizontal="center" vertical="center" readingOrder="2"/>
    </xf>
    <xf numFmtId="0" fontId="22" fillId="27" borderId="13" xfId="51" applyFont="1" applyFill="1" applyBorder="1" applyAlignment="1">
      <alignment horizontal="center" vertical="center" readingOrder="2"/>
    </xf>
    <xf numFmtId="0" fontId="22" fillId="27" borderId="18" xfId="52" applyFont="1" applyFill="1" applyBorder="1" applyAlignment="1">
      <alignment horizontal="center" vertical="center" wrapText="1" readingOrder="2"/>
    </xf>
    <xf numFmtId="0" fontId="22" fillId="27" borderId="13" xfId="52" applyFont="1" applyFill="1" applyBorder="1" applyAlignment="1">
      <alignment horizontal="center" vertical="center" wrapText="1" readingOrder="2"/>
    </xf>
    <xf numFmtId="0" fontId="22" fillId="27" borderId="12" xfId="52" applyFont="1" applyFill="1" applyBorder="1" applyAlignment="1">
      <alignment horizontal="center" vertical="center" readingOrder="2"/>
    </xf>
    <xf numFmtId="3" fontId="22" fillId="27" borderId="12" xfId="51" applyNumberFormat="1" applyFont="1" applyFill="1" applyBorder="1" applyAlignment="1">
      <alignment horizontal="center" vertical="center" readingOrder="2"/>
    </xf>
    <xf numFmtId="0" fontId="44" fillId="27" borderId="12" xfId="51" applyFont="1" applyFill="1" applyBorder="1" applyAlignment="1">
      <alignment horizontal="center" vertical="center" readingOrder="2"/>
    </xf>
    <xf numFmtId="0" fontId="50" fillId="27" borderId="23" xfId="51" applyFont="1" applyFill="1" applyBorder="1" applyAlignment="1">
      <alignment horizontal="center" vertical="center" wrapText="1" shrinkToFit="1" readingOrder="2"/>
    </xf>
    <xf numFmtId="0" fontId="50" fillId="27" borderId="24" xfId="51" applyFont="1" applyFill="1" applyBorder="1" applyAlignment="1">
      <alignment horizontal="center" vertical="center" wrapText="1" shrinkToFit="1" readingOrder="2"/>
    </xf>
    <xf numFmtId="0" fontId="44" fillId="27" borderId="12" xfId="51" applyFont="1" applyFill="1" applyBorder="1" applyAlignment="1">
      <alignment horizontal="center" vertical="center" shrinkToFit="1" readingOrder="2"/>
    </xf>
    <xf numFmtId="0" fontId="86" fillId="27" borderId="12" xfId="51" applyFont="1" applyFill="1" applyBorder="1" applyAlignment="1">
      <alignment horizontal="center" vertical="center" wrapText="1" readingOrder="2"/>
    </xf>
    <xf numFmtId="0" fontId="22" fillId="0" borderId="0" xfId="40" applyFont="1" applyAlignment="1">
      <alignment horizontal="center"/>
    </xf>
    <xf numFmtId="0" fontId="40" fillId="0" borderId="0" xfId="42" applyFont="1" applyAlignment="1">
      <alignment horizontal="center"/>
    </xf>
    <xf numFmtId="0" fontId="118" fillId="0" borderId="0" xfId="42" applyFont="1" applyAlignment="1">
      <alignment horizontal="center"/>
    </xf>
    <xf numFmtId="0" fontId="89" fillId="0" borderId="21" xfId="51" applyFont="1" applyBorder="1" applyAlignment="1">
      <alignment horizontal="center" readingOrder="2"/>
    </xf>
    <xf numFmtId="170" fontId="22" fillId="27" borderId="12" xfId="51" applyNumberFormat="1" applyFont="1" applyFill="1" applyBorder="1" applyAlignment="1">
      <alignment horizontal="center" vertical="center" wrapText="1" readingOrder="2"/>
    </xf>
    <xf numFmtId="0" fontId="44" fillId="27" borderId="12" xfId="51" applyFont="1" applyFill="1" applyBorder="1" applyAlignment="1">
      <alignment horizontal="center" vertical="center" wrapText="1" readingOrder="2"/>
    </xf>
    <xf numFmtId="0" fontId="22" fillId="27" borderId="23" xfId="51" applyFont="1" applyFill="1" applyBorder="1" applyAlignment="1">
      <alignment horizontal="center" vertical="center" wrapText="1" readingOrder="2"/>
    </xf>
    <xf numFmtId="0" fontId="87" fillId="0" borderId="0" xfId="51" applyFont="1" applyAlignment="1">
      <alignment horizontal="center" vertical="center" readingOrder="2"/>
    </xf>
    <xf numFmtId="2" fontId="22" fillId="27" borderId="12" xfId="51" applyNumberFormat="1" applyFont="1" applyFill="1" applyBorder="1" applyAlignment="1">
      <alignment horizontal="center" vertical="center" wrapText="1" readingOrder="2"/>
    </xf>
    <xf numFmtId="0" fontId="23" fillId="27" borderId="12" xfId="51" applyFont="1" applyFill="1" applyBorder="1" applyAlignment="1">
      <alignment horizontal="center" vertical="center" wrapText="1" readingOrder="2"/>
    </xf>
    <xf numFmtId="0" fontId="22" fillId="27" borderId="24" xfId="51" applyFont="1" applyFill="1" applyBorder="1" applyAlignment="1">
      <alignment horizontal="center" vertical="center" wrapText="1" readingOrder="2"/>
    </xf>
    <xf numFmtId="0" fontId="38" fillId="0" borderId="0" xfId="37" applyFont="1" applyAlignment="1">
      <alignment horizontal="center" vertical="top" shrinkToFit="1" readingOrder="2"/>
    </xf>
    <xf numFmtId="3" fontId="22" fillId="27" borderId="12" xfId="51" applyNumberFormat="1" applyFont="1" applyFill="1" applyBorder="1" applyAlignment="1">
      <alignment horizontal="center" vertical="center" wrapText="1" readingOrder="2"/>
    </xf>
    <xf numFmtId="3" fontId="86" fillId="27" borderId="12" xfId="51" applyNumberFormat="1" applyFont="1" applyFill="1" applyBorder="1" applyAlignment="1">
      <alignment horizontal="center" vertical="center" readingOrder="2"/>
    </xf>
    <xf numFmtId="1" fontId="22" fillId="27" borderId="12" xfId="51" applyNumberFormat="1" applyFont="1" applyFill="1" applyBorder="1" applyAlignment="1">
      <alignment horizontal="center" vertical="center" shrinkToFit="1" readingOrder="2"/>
    </xf>
    <xf numFmtId="3" fontId="46" fillId="0" borderId="0" xfId="51" applyNumberFormat="1" applyFont="1" applyAlignment="1">
      <alignment horizontal="center" vertical="center" readingOrder="2"/>
    </xf>
    <xf numFmtId="0" fontId="89" fillId="0" borderId="0" xfId="51" applyFont="1" applyAlignment="1">
      <alignment horizontal="center" vertical="center" readingOrder="2"/>
    </xf>
    <xf numFmtId="3" fontId="22" fillId="27" borderId="23" xfId="51" applyNumberFormat="1" applyFont="1" applyFill="1" applyBorder="1" applyAlignment="1">
      <alignment horizontal="center" vertical="center" readingOrder="2"/>
    </xf>
    <xf numFmtId="3" fontId="22" fillId="27" borderId="24" xfId="51" applyNumberFormat="1" applyFont="1" applyFill="1" applyBorder="1" applyAlignment="1">
      <alignment horizontal="center" vertical="center" readingOrder="2"/>
    </xf>
    <xf numFmtId="3" fontId="22" fillId="27" borderId="18" xfId="51" applyNumberFormat="1" applyFont="1" applyFill="1" applyBorder="1" applyAlignment="1">
      <alignment horizontal="center" vertical="center" readingOrder="2"/>
    </xf>
    <xf numFmtId="3" fontId="22" fillId="27" borderId="13" xfId="51" applyNumberFormat="1" applyFont="1" applyFill="1" applyBorder="1" applyAlignment="1">
      <alignment horizontal="center" vertical="center" readingOrder="2"/>
    </xf>
    <xf numFmtId="0" fontId="25" fillId="0" borderId="0" xfId="42" applyFont="1" applyAlignment="1">
      <alignment horizontal="center"/>
    </xf>
    <xf numFmtId="0" fontId="113" fillId="25" borderId="12" xfId="56" applyFont="1" applyFill="1" applyBorder="1" applyAlignment="1">
      <alignment horizontal="center" vertical="center"/>
    </xf>
    <xf numFmtId="0" fontId="22" fillId="25" borderId="18" xfId="56" applyFont="1" applyFill="1" applyBorder="1" applyAlignment="1">
      <alignment horizontal="center" vertical="center" wrapText="1" shrinkToFit="1"/>
    </xf>
    <xf numFmtId="0" fontId="22" fillId="25" borderId="13" xfId="56" applyFont="1" applyFill="1" applyBorder="1" applyAlignment="1">
      <alignment horizontal="center" vertical="center" wrapText="1" shrinkToFit="1"/>
    </xf>
    <xf numFmtId="0" fontId="22" fillId="25" borderId="12" xfId="56" applyFont="1" applyFill="1" applyBorder="1" applyAlignment="1">
      <alignment horizontal="center" vertical="center"/>
    </xf>
    <xf numFmtId="0" fontId="22" fillId="25" borderId="12" xfId="56" applyFont="1" applyFill="1" applyBorder="1" applyAlignment="1">
      <alignment horizontal="center" vertical="center" wrapText="1" shrinkToFit="1"/>
    </xf>
    <xf numFmtId="0" fontId="87" fillId="0" borderId="0" xfId="56" applyFont="1" applyAlignment="1">
      <alignment horizontal="center" vertical="center"/>
    </xf>
    <xf numFmtId="0" fontId="46" fillId="0" borderId="0" xfId="56" applyFont="1" applyAlignment="1">
      <alignment horizontal="center" vertical="center"/>
    </xf>
  </cellXfs>
  <cellStyles count="6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50" builtinId="3"/>
    <cellStyle name="Comma [0] 2" xfId="60" xr:uid="{00000000-0005-0000-0000-00001C000000}"/>
    <cellStyle name="Comma 2" xfId="53" xr:uid="{00000000-0005-0000-0000-00001D000000}"/>
    <cellStyle name="Comma 6" xfId="55" xr:uid="{00000000-0005-0000-0000-00001E000000}"/>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10" xfId="57" xr:uid="{00000000-0005-0000-0000-000029000000}"/>
    <cellStyle name="Normal 2" xfId="37" xr:uid="{00000000-0005-0000-0000-00002A000000}"/>
    <cellStyle name="Normal 2 2" xfId="38" xr:uid="{00000000-0005-0000-0000-00002B000000}"/>
    <cellStyle name="Normal 3" xfId="39" xr:uid="{00000000-0005-0000-0000-00002C000000}"/>
    <cellStyle name="Normal 3 2" xfId="40" xr:uid="{00000000-0005-0000-0000-00002D000000}"/>
    <cellStyle name="Normal 4" xfId="41" xr:uid="{00000000-0005-0000-0000-00002E000000}"/>
    <cellStyle name="Normal 4 2" xfId="54" xr:uid="{00000000-0005-0000-0000-00002F000000}"/>
    <cellStyle name="Normal 5" xfId="58" xr:uid="{00000000-0005-0000-0000-000030000000}"/>
    <cellStyle name="Normal 6" xfId="59" xr:uid="{00000000-0005-0000-0000-000031000000}"/>
    <cellStyle name="Normal_پارک سمنان یادداشت" xfId="42" xr:uid="{00000000-0005-0000-0000-000032000000}"/>
    <cellStyle name="Normal_تفريغ تير88" xfId="51" xr:uid="{00000000-0005-0000-0000-000033000000}"/>
    <cellStyle name="Normal_تفريغ تير88 2" xfId="52" xr:uid="{00000000-0005-0000-0000-000034000000}"/>
    <cellStyle name="Normal_سمنان 2 2" xfId="56" xr:uid="{00000000-0005-0000-0000-000035000000}"/>
    <cellStyle name="Normal_صورتهای مالی پارک علم و فناوری استان سمنان87-نهایی" xfId="43" xr:uid="{00000000-0005-0000-0000-000036000000}"/>
    <cellStyle name="Normal_نمودار" xfId="61" xr:uid="{00000000-0005-0000-0000-000037000000}"/>
    <cellStyle name="Note" xfId="44" builtinId="10" customBuiltin="1"/>
    <cellStyle name="Output" xfId="45" builtinId="21" customBuiltin="1"/>
    <cellStyle name="Percent" xfId="62" builtinId="5"/>
    <cellStyle name="Percent 2" xfId="46" xr:uid="{00000000-0005-0000-0000-00003B000000}"/>
    <cellStyle name="Title" xfId="47" builtinId="15" customBuiltin="1"/>
    <cellStyle name="Total" xfId="48" builtinId="25" customBuiltin="1"/>
    <cellStyle name="Warning Text" xfId="49" builtinId="11" customBuiltin="1"/>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B Mitra"/>
                <a:ea typeface="B Mitra"/>
                <a:cs typeface="B Mitra"/>
              </a:defRPr>
            </a:pPr>
            <a:r>
              <a:rPr lang="fa-IR"/>
              <a:t>پارک علم و فناوری استان خراسان
وضعیت تسویه پرداختهای غیر قطعی سنوات قبل</a:t>
            </a:r>
          </a:p>
        </c:rich>
      </c:tx>
      <c:layout>
        <c:manualLayout>
          <c:xMode val="edge"/>
          <c:yMode val="edge"/>
          <c:x val="0.34946283888427543"/>
          <c:y val="2.852348993288541E-2"/>
        </c:manualLayout>
      </c:layout>
      <c:overlay val="0"/>
      <c:spPr>
        <a:noFill/>
        <a:ln w="25400">
          <a:noFill/>
        </a:ln>
      </c:spPr>
    </c:title>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2.3602484472049687E-2"/>
          <c:y val="0.19966442953020141"/>
          <c:w val="0.7366459627329196"/>
          <c:h val="0.7097315436241679"/>
        </c:manualLayout>
      </c:layout>
      <c:bar3DChart>
        <c:barDir val="col"/>
        <c:grouping val="clustered"/>
        <c:varyColors val="0"/>
        <c:ser>
          <c:idx val="0"/>
          <c:order val="0"/>
          <c:tx>
            <c:strRef>
              <c:f>ن7!$B$29</c:f>
              <c:strCache>
                <c:ptCount val="1"/>
                <c:pt idx="0">
                  <c:v>وضعیت پرداختهای غیر قطعی سنوات قبل</c:v>
                </c:pt>
              </c:strCache>
            </c:strRef>
          </c:tx>
          <c:spPr>
            <a:solidFill>
              <a:srgbClr val="00B050"/>
            </a:solidFill>
          </c:spPr>
          <c:invertIfNegative val="0"/>
          <c:dPt>
            <c:idx val="1"/>
            <c:invertIfNegative val="0"/>
            <c:bubble3D val="0"/>
            <c:spPr>
              <a:solidFill>
                <a:srgbClr val="FFFF00"/>
              </a:solidFill>
              <a:ln w="25400">
                <a:noFill/>
              </a:ln>
            </c:spPr>
            <c:extLst>
              <c:ext xmlns:c16="http://schemas.microsoft.com/office/drawing/2014/chart" uri="{C3380CC4-5D6E-409C-BE32-E72D297353CC}">
                <c16:uniqueId val="{00000001-25B0-4B24-B484-40407F80E16D}"/>
              </c:ext>
            </c:extLst>
          </c:dPt>
          <c:dPt>
            <c:idx val="2"/>
            <c:invertIfNegative val="0"/>
            <c:bubble3D val="0"/>
            <c:spPr>
              <a:solidFill>
                <a:srgbClr val="FF0000"/>
              </a:solidFill>
            </c:spPr>
            <c:extLst>
              <c:ext xmlns:c16="http://schemas.microsoft.com/office/drawing/2014/chart" uri="{C3380CC4-5D6E-409C-BE32-E72D297353CC}">
                <c16:uniqueId val="{00000003-25B0-4B24-B484-40407F80E16D}"/>
              </c:ext>
            </c:extLst>
          </c:dPt>
          <c:dPt>
            <c:idx val="3"/>
            <c:invertIfNegative val="0"/>
            <c:bubble3D val="0"/>
            <c:spPr>
              <a:solidFill>
                <a:schemeClr val="tx2">
                  <a:lumMod val="60000"/>
                  <a:lumOff val="40000"/>
                </a:schemeClr>
              </a:solidFill>
            </c:spPr>
            <c:extLst>
              <c:ext xmlns:c16="http://schemas.microsoft.com/office/drawing/2014/chart" uri="{C3380CC4-5D6E-409C-BE32-E72D297353CC}">
                <c16:uniqueId val="{00000005-25B0-4B24-B484-40407F80E16D}"/>
              </c:ext>
            </c:extLst>
          </c:dPt>
          <c:dLbls>
            <c:dLbl>
              <c:idx val="0"/>
              <c:layout>
                <c:manualLayout>
                  <c:x val="1.1496385830000041E-2"/>
                  <c:y val="-3.3557046979865786E-2"/>
                </c:manualLayout>
              </c:layout>
              <c:tx>
                <c:rich>
                  <a:bodyPr/>
                  <a:lstStyle/>
                  <a:p>
                    <a:pPr algn="ctr" rtl="0">
                      <a:defRPr lang="en-US" sz="1000" b="1" i="0" u="none" strike="noStrike" kern="1200" baseline="0">
                        <a:solidFill>
                          <a:srgbClr val="000000"/>
                        </a:solidFill>
                        <a:latin typeface="B Mitra"/>
                        <a:ea typeface="B Mitra"/>
                        <a:cs typeface="B Mitra"/>
                      </a:defRPr>
                    </a:pPr>
                    <a:fld id="{24023C1D-6478-4FAB-9228-D8BA7A1B1B56}" type="VALUE">
                      <a:rPr lang="en-US">
                        <a:solidFill>
                          <a:srgbClr val="FF0000"/>
                        </a:solidFill>
                      </a:rPr>
                      <a:pPr algn="ctr" rtl="0">
                        <a:defRPr lang="en-US" sz="1000" b="1" i="0" u="none" strike="noStrike" kern="1200" baseline="0">
                          <a:solidFill>
                            <a:srgbClr val="000000"/>
                          </a:solidFill>
                          <a:latin typeface="B Mitra"/>
                          <a:ea typeface="B Mitra"/>
                          <a:cs typeface="B Mitra"/>
                        </a:defRPr>
                      </a:pPr>
                      <a:t>[VALUE]</a:t>
                    </a:fld>
                    <a:endParaRPr lang="en-US"/>
                  </a:p>
                </c:rich>
              </c:tx>
              <c:spPr>
                <a:noFill/>
                <a:ln w="25400">
                  <a:noFill/>
                </a:ln>
              </c:sp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25B0-4B24-B484-40407F80E16D}"/>
                </c:ext>
              </c:extLst>
            </c:dLbl>
            <c:dLbl>
              <c:idx val="1"/>
              <c:layout>
                <c:manualLayout>
                  <c:x val="4.9689440993788822E-3"/>
                  <c:y val="-3.80313199105150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B0-4B24-B484-40407F80E16D}"/>
                </c:ext>
              </c:extLst>
            </c:dLbl>
            <c:dLbl>
              <c:idx val="2"/>
              <c:layout>
                <c:manualLayout>
                  <c:x val="4.9689440993788822E-3"/>
                  <c:y val="-4.0268456375838917E-2"/>
                </c:manualLayout>
              </c:layout>
              <c:spPr>
                <a:noFill/>
                <a:ln w="25400">
                  <a:noFill/>
                </a:ln>
              </c:spPr>
              <c:txPr>
                <a:bodyPr/>
                <a:lstStyle/>
                <a:p>
                  <a:pPr algn="ctr" rtl="0">
                    <a:defRPr lang="en-US" sz="1000" b="1" i="0" u="none" strike="noStrike" kern="1200" baseline="0">
                      <a:solidFill>
                        <a:srgbClr val="000000"/>
                      </a:solidFill>
                      <a:latin typeface="B Mitra"/>
                      <a:ea typeface="B Mitra"/>
                      <a:cs typeface="B Mitra"/>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B0-4B24-B484-40407F80E16D}"/>
                </c:ext>
              </c:extLst>
            </c:dLbl>
            <c:spPr>
              <a:noFill/>
              <a:ln w="25400">
                <a:noFill/>
              </a:ln>
            </c:spPr>
            <c:txPr>
              <a:bodyPr/>
              <a:lstStyle/>
              <a:p>
                <a:pPr>
                  <a:defRPr sz="1000" b="1" i="0" u="none" strike="noStrike" baseline="0">
                    <a:solidFill>
                      <a:srgbClr val="000000"/>
                    </a:solidFill>
                    <a:latin typeface="B Mitra"/>
                    <a:ea typeface="B Mitra"/>
                    <a:cs typeface="B Mitra"/>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ن7!$A$30:$A$32</c:f>
              <c:strCache>
                <c:ptCount val="3"/>
                <c:pt idx="0">
                  <c:v>مانده از سنوات قبل</c:v>
                </c:pt>
                <c:pt idx="1">
                  <c:v>تسویه شده در سال 1398</c:v>
                </c:pt>
                <c:pt idx="2">
                  <c:v>مانده در پایان 1398</c:v>
                </c:pt>
              </c:strCache>
            </c:strRef>
          </c:cat>
          <c:val>
            <c:numRef>
              <c:f>ن7!$B$30:$B$32</c:f>
              <c:numCache>
                <c:formatCode>#,##0</c:formatCode>
                <c:ptCount val="3"/>
                <c:pt idx="0">
                  <c:v>4484.5348439999998</c:v>
                </c:pt>
                <c:pt idx="1">
                  <c:v>3393.0654049999998</c:v>
                </c:pt>
                <c:pt idx="2">
                  <c:v>1091.469439</c:v>
                </c:pt>
              </c:numCache>
            </c:numRef>
          </c:val>
          <c:extLst>
            <c:ext xmlns:c16="http://schemas.microsoft.com/office/drawing/2014/chart" uri="{C3380CC4-5D6E-409C-BE32-E72D297353CC}">
              <c16:uniqueId val="{00000007-25B0-4B24-B484-40407F80E16D}"/>
            </c:ext>
          </c:extLst>
        </c:ser>
        <c:dLbls>
          <c:showLegendKey val="0"/>
          <c:showVal val="0"/>
          <c:showCatName val="0"/>
          <c:showSerName val="0"/>
          <c:showPercent val="0"/>
          <c:showBubbleSize val="0"/>
        </c:dLbls>
        <c:gapWidth val="150"/>
        <c:shape val="box"/>
        <c:axId val="225491184"/>
        <c:axId val="225490064"/>
        <c:axId val="0"/>
      </c:bar3DChart>
      <c:catAx>
        <c:axId val="225491184"/>
        <c:scaling>
          <c:orientation val="minMax"/>
        </c:scaling>
        <c:delete val="0"/>
        <c:axPos val="b"/>
        <c:numFmt formatCode="General" sourceLinked="1"/>
        <c:majorTickMark val="out"/>
        <c:minorTickMark val="none"/>
        <c:tickLblPos val="nextTo"/>
        <c:txPr>
          <a:bodyPr rot="0" vert="horz"/>
          <a:lstStyle/>
          <a:p>
            <a:pPr>
              <a:defRPr sz="1000" b="1" i="0" u="none" strike="noStrike" baseline="0">
                <a:solidFill>
                  <a:srgbClr val="000000"/>
                </a:solidFill>
                <a:latin typeface="B Mitra"/>
                <a:ea typeface="B Mitra"/>
                <a:cs typeface="B Mitra"/>
              </a:defRPr>
            </a:pPr>
            <a:endParaRPr lang="en-US"/>
          </a:p>
        </c:txPr>
        <c:crossAx val="225490064"/>
        <c:crosses val="autoZero"/>
        <c:auto val="1"/>
        <c:lblAlgn val="ctr"/>
        <c:lblOffset val="100"/>
        <c:noMultiLvlLbl val="0"/>
      </c:catAx>
      <c:valAx>
        <c:axId val="225490064"/>
        <c:scaling>
          <c:orientation val="minMax"/>
        </c:scaling>
        <c:delete val="0"/>
        <c:axPos val="l"/>
        <c:majorGridlines/>
        <c:numFmt formatCode="#,##0" sourceLinked="1"/>
        <c:majorTickMark val="out"/>
        <c:minorTickMark val="none"/>
        <c:tickLblPos val="nextTo"/>
        <c:txPr>
          <a:bodyPr rot="0" vert="horz"/>
          <a:lstStyle/>
          <a:p>
            <a:pPr>
              <a:defRPr sz="1100" b="1" i="0" u="none" strike="noStrike" baseline="0">
                <a:solidFill>
                  <a:srgbClr val="000000"/>
                </a:solidFill>
                <a:latin typeface="B Mitra"/>
                <a:ea typeface="B Mitra"/>
                <a:cs typeface="B Titr" panose="00000700000000000000" pitchFamily="2" charset="-78"/>
              </a:defRPr>
            </a:pPr>
            <a:endParaRPr lang="en-US"/>
          </a:p>
        </c:txPr>
        <c:crossAx val="225491184"/>
        <c:crosses val="autoZero"/>
        <c:crossBetween val="between"/>
      </c:valAx>
      <c:spPr>
        <a:noFill/>
        <a:ln w="25400">
          <a:noFill/>
        </a:ln>
      </c:spPr>
    </c:plotArea>
    <c:legend>
      <c:legendPos val="r"/>
      <c:layout>
        <c:manualLayout>
          <c:xMode val="edge"/>
          <c:yMode val="edge"/>
          <c:x val="0.78763541513833224"/>
          <c:y val="0.48210290827740493"/>
          <c:w val="0.21236456144089"/>
          <c:h val="0.23713646532438479"/>
        </c:manualLayout>
      </c:layout>
      <c:overlay val="0"/>
      <c:txPr>
        <a:bodyPr/>
        <a:lstStyle/>
        <a:p>
          <a:pPr>
            <a:defRPr sz="1050" b="1" i="0" u="none" strike="noStrike" baseline="0">
              <a:solidFill>
                <a:srgbClr val="000000"/>
              </a:solidFill>
              <a:latin typeface="B Mitra"/>
              <a:ea typeface="B Mitra"/>
              <a:cs typeface="B Mitra"/>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4803149606299901" l="0.7086614173228426" r="0.7086614173228426" t="0.74803149606299901" header="0.30000000000000032" footer="0.30000000000000032"/>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B Titr"/>
                <a:ea typeface="B Titr"/>
                <a:cs typeface="B Titr"/>
              </a:defRPr>
            </a:pPr>
            <a:r>
              <a:rPr lang="fa-IR" sz="1400"/>
              <a:t>پارک علم و فناوری</a:t>
            </a:r>
            <a:r>
              <a:rPr lang="fa-IR" sz="1400" baseline="0"/>
              <a:t> استان خراسان</a:t>
            </a:r>
            <a:r>
              <a:rPr lang="fa-IR" sz="1400"/>
              <a:t>
         مقایسه پیش بینی درآمد اختصاصی با درآمد تحقق یافته</a:t>
            </a:r>
          </a:p>
        </c:rich>
      </c:tx>
      <c:layout>
        <c:manualLayout>
          <c:xMode val="edge"/>
          <c:yMode val="edge"/>
          <c:x val="0.24718981334763493"/>
          <c:y val="7.3665204601102733E-3"/>
        </c:manualLayout>
      </c:layout>
      <c:overlay val="0"/>
      <c:spPr>
        <a:noFill/>
        <a:ln w="25400">
          <a:noFill/>
        </a:ln>
      </c:spPr>
    </c:title>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9.6707012863061548E-2"/>
          <c:y val="0.15507935669115194"/>
          <c:w val="0.69476744186046457"/>
          <c:h val="0.73296500920810737"/>
        </c:manualLayout>
      </c:layout>
      <c:bar3DChart>
        <c:barDir val="col"/>
        <c:grouping val="clustered"/>
        <c:varyColors val="0"/>
        <c:ser>
          <c:idx val="0"/>
          <c:order val="0"/>
          <c:tx>
            <c:strRef>
              <c:f>ن6!$A$31</c:f>
              <c:strCache>
                <c:ptCount val="1"/>
                <c:pt idx="0">
                  <c:v>درآمد اختصاصی پیش بینی</c:v>
                </c:pt>
              </c:strCache>
            </c:strRef>
          </c:tx>
          <c:spPr>
            <a:solidFill>
              <a:srgbClr val="00B050"/>
            </a:solidFill>
          </c:spPr>
          <c:invertIfNegative val="0"/>
          <c:dLbls>
            <c:dLbl>
              <c:idx val="0"/>
              <c:layout>
                <c:manualLayout>
                  <c:x val="2.0661157024793389E-2"/>
                  <c:y val="-5.8165548098434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86C-422A-8895-8148F5798F19}"/>
                </c:ext>
              </c:extLst>
            </c:dLbl>
            <c:numFmt formatCode="[$-3010000]#,###" sourceLinked="0"/>
            <c:spPr>
              <a:noFill/>
              <a:ln>
                <a:noFill/>
              </a:ln>
              <a:effectLst/>
            </c:spPr>
            <c:txPr>
              <a:bodyPr wrap="square" lIns="38100" tIns="19050" rIns="38100" bIns="19050" anchor="ctr" anchorCtr="0">
                <a:spAutoFit/>
              </a:bodyPr>
              <a:lstStyle/>
              <a:p>
                <a:pPr algn="ctr" rtl="1">
                  <a:defRPr lang="fa-IR" sz="1010" b="1" i="0" u="none" strike="noStrike" kern="1200" baseline="0">
                    <a:solidFill>
                      <a:srgbClr val="000000"/>
                    </a:solidFill>
                    <a:latin typeface="Calibri"/>
                    <a:ea typeface="Calibri"/>
                    <a:cs typeface="B Titr" panose="00000700000000000000"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ن6!$A$29</c:f>
              <c:strCache>
                <c:ptCount val="1"/>
                <c:pt idx="0">
                  <c:v>درآمد اختصاصی</c:v>
                </c:pt>
              </c:strCache>
            </c:strRef>
          </c:cat>
          <c:val>
            <c:numRef>
              <c:f>ن6!$A$32</c:f>
              <c:numCache>
                <c:formatCode>#,##0</c:formatCode>
                <c:ptCount val="1"/>
                <c:pt idx="0">
                  <c:v>56206</c:v>
                </c:pt>
              </c:numCache>
            </c:numRef>
          </c:val>
          <c:extLst>
            <c:ext xmlns:c16="http://schemas.microsoft.com/office/drawing/2014/chart" uri="{C3380CC4-5D6E-409C-BE32-E72D297353CC}">
              <c16:uniqueId val="{00000001-586C-422A-8895-8148F5798F19}"/>
            </c:ext>
          </c:extLst>
        </c:ser>
        <c:ser>
          <c:idx val="1"/>
          <c:order val="1"/>
          <c:tx>
            <c:strRef>
              <c:f>ن6!$A$35</c:f>
              <c:strCache>
                <c:ptCount val="1"/>
                <c:pt idx="0">
                  <c:v>درآمد اختصاصی وصولی</c:v>
                </c:pt>
              </c:strCache>
            </c:strRef>
          </c:tx>
          <c:spPr>
            <a:solidFill>
              <a:srgbClr val="FF0000"/>
            </a:solidFill>
          </c:spPr>
          <c:invertIfNegative val="0"/>
          <c:dLbls>
            <c:dLbl>
              <c:idx val="0"/>
              <c:layout>
                <c:manualLayout>
                  <c:x val="2.0661157024793389E-2"/>
                  <c:y val="-6.71140939597315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6C-422A-8895-8148F5798F19}"/>
                </c:ext>
              </c:extLst>
            </c:dLbl>
            <c:numFmt formatCode="[$-3010000]#,###" sourceLinked="0"/>
            <c:spPr>
              <a:noFill/>
              <a:ln>
                <a:noFill/>
              </a:ln>
              <a:effectLst/>
            </c:spPr>
            <c:txPr>
              <a:bodyPr wrap="square" lIns="38100" tIns="19050" rIns="38100" bIns="19050" anchor="ctr" anchorCtr="0">
                <a:spAutoFit/>
              </a:bodyPr>
              <a:lstStyle/>
              <a:p>
                <a:pPr algn="ctr" rtl="1">
                  <a:defRPr lang="fa-IR" sz="1010" b="1" i="0" u="none" strike="noStrike" kern="1200" baseline="0">
                    <a:solidFill>
                      <a:srgbClr val="FF0000"/>
                    </a:solidFill>
                    <a:latin typeface="Calibri"/>
                    <a:ea typeface="Calibri"/>
                    <a:cs typeface="B Titr" panose="00000700000000000000"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ن6!$A$29</c:f>
              <c:strCache>
                <c:ptCount val="1"/>
                <c:pt idx="0">
                  <c:v>درآمد اختصاصی</c:v>
                </c:pt>
              </c:strCache>
            </c:strRef>
          </c:cat>
          <c:val>
            <c:numRef>
              <c:f>ن6!$A$36</c:f>
              <c:numCache>
                <c:formatCode>#,##0</c:formatCode>
                <c:ptCount val="1"/>
                <c:pt idx="0">
                  <c:v>56206</c:v>
                </c:pt>
              </c:numCache>
            </c:numRef>
          </c:val>
          <c:extLst>
            <c:ext xmlns:c16="http://schemas.microsoft.com/office/drawing/2014/chart" uri="{C3380CC4-5D6E-409C-BE32-E72D297353CC}">
              <c16:uniqueId val="{00000003-586C-422A-8895-8148F5798F19}"/>
            </c:ext>
          </c:extLst>
        </c:ser>
        <c:dLbls>
          <c:showLegendKey val="0"/>
          <c:showVal val="0"/>
          <c:showCatName val="0"/>
          <c:showSerName val="0"/>
          <c:showPercent val="0"/>
          <c:showBubbleSize val="0"/>
        </c:dLbls>
        <c:gapWidth val="150"/>
        <c:shape val="box"/>
        <c:axId val="228916176"/>
        <c:axId val="228916736"/>
        <c:axId val="0"/>
      </c:bar3DChart>
      <c:catAx>
        <c:axId val="228916176"/>
        <c:scaling>
          <c:orientation val="minMax"/>
        </c:scaling>
        <c:delete val="0"/>
        <c:axPos val="b"/>
        <c:numFmt formatCode="General" sourceLinked="1"/>
        <c:majorTickMark val="none"/>
        <c:minorTickMark val="none"/>
        <c:tickLblPos val="nextTo"/>
        <c:txPr>
          <a:bodyPr rot="0" vert="horz"/>
          <a:lstStyle/>
          <a:p>
            <a:pPr>
              <a:defRPr sz="1200" b="1" i="0" u="none" strike="noStrike" baseline="0">
                <a:solidFill>
                  <a:srgbClr val="000000"/>
                </a:solidFill>
                <a:latin typeface="Calibri"/>
                <a:ea typeface="Calibri"/>
                <a:cs typeface="B Titr" panose="00000700000000000000" pitchFamily="2" charset="-78"/>
              </a:defRPr>
            </a:pPr>
            <a:endParaRPr lang="en-US"/>
          </a:p>
        </c:txPr>
        <c:crossAx val="228916736"/>
        <c:crosses val="autoZero"/>
        <c:auto val="1"/>
        <c:lblAlgn val="ctr"/>
        <c:lblOffset val="100"/>
        <c:noMultiLvlLbl val="0"/>
      </c:catAx>
      <c:valAx>
        <c:axId val="228916736"/>
        <c:scaling>
          <c:orientation val="minMax"/>
          <c:min val="1000"/>
        </c:scaling>
        <c:delete val="0"/>
        <c:axPos val="l"/>
        <c:majorGridlines/>
        <c:numFmt formatCode="[$-3010000]#,###" sourceLinked="0"/>
        <c:majorTickMark val="none"/>
        <c:minorTickMark val="none"/>
        <c:tickLblPos val="nextTo"/>
        <c:txPr>
          <a:bodyPr rot="0" vert="horz"/>
          <a:lstStyle/>
          <a:p>
            <a:pPr>
              <a:defRPr sz="1000" b="1" i="0" u="none" strike="noStrike" baseline="0">
                <a:solidFill>
                  <a:srgbClr val="000000"/>
                </a:solidFill>
                <a:latin typeface=""/>
                <a:ea typeface="Arial"/>
                <a:cs typeface="B Mitra" panose="00000400000000000000" pitchFamily="2" charset="-78"/>
              </a:defRPr>
            </a:pPr>
            <a:endParaRPr lang="en-US"/>
          </a:p>
        </c:txPr>
        <c:crossAx val="228916176"/>
        <c:crosses val="autoZero"/>
        <c:crossBetween val="between"/>
      </c:valAx>
      <c:spPr>
        <a:noFill/>
        <a:ln w="25400">
          <a:noFill/>
        </a:ln>
      </c:spPr>
    </c:plotArea>
    <c:legend>
      <c:legendPos val="r"/>
      <c:legendEntry>
        <c:idx val="0"/>
        <c:txPr>
          <a:bodyPr/>
          <a:lstStyle/>
          <a:p>
            <a:pPr>
              <a:defRPr sz="1010" b="1" i="0" u="none" strike="noStrike" baseline="0">
                <a:solidFill>
                  <a:srgbClr val="000000"/>
                </a:solidFill>
                <a:latin typeface="Calibri"/>
                <a:ea typeface="Calibri"/>
                <a:cs typeface="B Titr" panose="00000700000000000000" pitchFamily="2" charset="-78"/>
              </a:defRPr>
            </a:pPr>
            <a:endParaRPr lang="en-US"/>
          </a:p>
        </c:txPr>
      </c:legendEntry>
      <c:legendEntry>
        <c:idx val="1"/>
        <c:txPr>
          <a:bodyPr/>
          <a:lstStyle/>
          <a:p>
            <a:pPr>
              <a:defRPr sz="1010" b="1" i="0" u="none" strike="noStrike" baseline="0">
                <a:solidFill>
                  <a:srgbClr val="000000"/>
                </a:solidFill>
                <a:latin typeface="Calibri"/>
                <a:ea typeface="Calibri"/>
                <a:cs typeface="B Titr" panose="00000700000000000000" pitchFamily="2" charset="-78"/>
              </a:defRPr>
            </a:pPr>
            <a:endParaRPr lang="en-US"/>
          </a:p>
        </c:txPr>
      </c:legendEntry>
      <c:layout>
        <c:manualLayout>
          <c:xMode val="edge"/>
          <c:yMode val="edge"/>
          <c:x val="0.77704882864874836"/>
          <c:y val="0.51565467068294313"/>
          <c:w val="0.19775594614140837"/>
          <c:h val="0.13628018813084641"/>
        </c:manualLayout>
      </c:layout>
      <c:overlay val="0"/>
      <c:txPr>
        <a:bodyPr/>
        <a:lstStyle/>
        <a:p>
          <a:pPr>
            <a:defRPr sz="1010" b="1" i="0" u="none" strike="noStrike" baseline="0">
              <a:solidFill>
                <a:srgbClr val="000000"/>
              </a:solidFill>
              <a:latin typeface="Calibri"/>
              <a:ea typeface="Calibri"/>
              <a:cs typeface="B Titr" panose="00000700000000000000" pitchFamily="2" charset="-78"/>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480314960629959" l="0.31496062992126339" r="0.31496062992126339" t="0.7480314960629959" header="0.30000000000000032" footer="0.30000000000000032"/>
    <c:pageSetup orientation="landscape"/>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B Titr"/>
                <a:ea typeface="B Titr"/>
                <a:cs typeface="B Titr"/>
              </a:defRPr>
            </a:pPr>
            <a:r>
              <a:rPr lang="fa-IR"/>
              <a:t>پارک علم و فناوری استان خراسان
   اعتبارات مصوب سال</a:t>
            </a:r>
            <a:r>
              <a:rPr lang="en-US"/>
              <a:t> </a:t>
            </a:r>
            <a:r>
              <a:rPr lang="en-US" baseline="0"/>
              <a:t> </a:t>
            </a:r>
            <a:r>
              <a:rPr lang="fa-IR" baseline="0"/>
              <a:t>1398</a:t>
            </a:r>
            <a:r>
              <a:rPr lang="en-US" baseline="0"/>
              <a:t> </a:t>
            </a:r>
            <a:endParaRPr lang="fa-IR"/>
          </a:p>
        </c:rich>
      </c:tx>
      <c:overlay val="0"/>
      <c:spPr>
        <a:noFill/>
        <a:ln w="25400">
          <a:noFill/>
        </a:ln>
      </c:spPr>
    </c:title>
    <c:autoTitleDeleted val="0"/>
    <c:view3D>
      <c:rotX val="30"/>
      <c:rotY val="0"/>
      <c:rAngAx val="0"/>
    </c:view3D>
    <c:floor>
      <c:thickness val="0"/>
    </c:floor>
    <c:sideWall>
      <c:thickness val="0"/>
    </c:sideWall>
    <c:backWall>
      <c:thickness val="0"/>
    </c:backWall>
    <c:plotArea>
      <c:layout>
        <c:manualLayout>
          <c:layoutTarget val="inner"/>
          <c:xMode val="edge"/>
          <c:yMode val="edge"/>
          <c:x val="9.129219743857904E-2"/>
          <c:y val="0.39116202945990425"/>
          <c:w val="0.52106777307250507"/>
          <c:h val="0.37970540098199684"/>
        </c:manualLayout>
      </c:layout>
      <c:pie3DChart>
        <c:varyColors val="1"/>
        <c:ser>
          <c:idx val="0"/>
          <c:order val="0"/>
          <c:explosion val="25"/>
          <c:dPt>
            <c:idx val="0"/>
            <c:bubble3D val="0"/>
            <c:spPr>
              <a:solidFill>
                <a:srgbClr val="FF0000"/>
              </a:solidFill>
            </c:spPr>
            <c:extLst>
              <c:ext xmlns:c16="http://schemas.microsoft.com/office/drawing/2014/chart" uri="{C3380CC4-5D6E-409C-BE32-E72D297353CC}">
                <c16:uniqueId val="{00000001-F244-4BC0-8BBB-1D9B9D7E123E}"/>
              </c:ext>
            </c:extLst>
          </c:dPt>
          <c:dPt>
            <c:idx val="1"/>
            <c:bubble3D val="0"/>
            <c:spPr>
              <a:solidFill>
                <a:srgbClr val="00B050"/>
              </a:solidFill>
            </c:spPr>
            <c:extLst>
              <c:ext xmlns:c16="http://schemas.microsoft.com/office/drawing/2014/chart" uri="{C3380CC4-5D6E-409C-BE32-E72D297353CC}">
                <c16:uniqueId val="{00000003-F244-4BC0-8BBB-1D9B9D7E123E}"/>
              </c:ext>
            </c:extLst>
          </c:dPt>
          <c:dPt>
            <c:idx val="2"/>
            <c:bubble3D val="0"/>
            <c:spPr>
              <a:solidFill>
                <a:schemeClr val="bg1">
                  <a:lumMod val="95000"/>
                </a:schemeClr>
              </a:solidFill>
            </c:spPr>
            <c:extLst>
              <c:ext xmlns:c16="http://schemas.microsoft.com/office/drawing/2014/chart" uri="{C3380CC4-5D6E-409C-BE32-E72D297353CC}">
                <c16:uniqueId val="{00000005-F244-4BC0-8BBB-1D9B9D7E123E}"/>
              </c:ext>
            </c:extLst>
          </c:dPt>
          <c:dLbls>
            <c:dLbl>
              <c:idx val="0"/>
              <c:spPr/>
              <c:txPr>
                <a:bodyPr/>
                <a:lstStyle/>
                <a:p>
                  <a:pPr>
                    <a:defRPr sz="1400" b="0" i="0" u="none" strike="noStrike" baseline="0">
                      <a:solidFill>
                        <a:srgbClr val="000000"/>
                      </a:solidFill>
                      <a:latin typeface="B Titr"/>
                      <a:ea typeface="B Titr"/>
                      <a:cs typeface="B Tit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244-4BC0-8BBB-1D9B9D7E123E}"/>
                </c:ext>
              </c:extLst>
            </c:dLbl>
            <c:dLbl>
              <c:idx val="1"/>
              <c:spPr/>
              <c:txPr>
                <a:bodyPr/>
                <a:lstStyle/>
                <a:p>
                  <a:pPr>
                    <a:defRPr sz="1400" b="0" i="0" u="none" strike="noStrike" baseline="0">
                      <a:solidFill>
                        <a:srgbClr val="000000"/>
                      </a:solidFill>
                      <a:latin typeface="B Titr"/>
                      <a:ea typeface="B Titr"/>
                      <a:cs typeface="B Tit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44-4BC0-8BBB-1D9B9D7E123E}"/>
                </c:ext>
              </c:extLst>
            </c:dLbl>
            <c:dLbl>
              <c:idx val="2"/>
              <c:spPr/>
              <c:txPr>
                <a:bodyPr/>
                <a:lstStyle/>
                <a:p>
                  <a:pPr>
                    <a:defRPr sz="1400" b="0" i="0" u="none" strike="noStrike" baseline="0">
                      <a:solidFill>
                        <a:srgbClr val="000000"/>
                      </a:solidFill>
                      <a:latin typeface="B Titr"/>
                      <a:ea typeface="B Titr"/>
                      <a:cs typeface="B Tit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244-4BC0-8BBB-1D9B9D7E123E}"/>
                </c:ext>
              </c:extLst>
            </c:dLbl>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ن2!$B$41:$B$43</c:f>
              <c:strCache>
                <c:ptCount val="3"/>
                <c:pt idx="0">
                  <c:v>اعتبارات هزینه ای : 145.500 میلیون ریال</c:v>
                </c:pt>
                <c:pt idx="1">
                  <c:v>اعتبارات سرمایه ای :  19.590 میلیون ریال</c:v>
                </c:pt>
                <c:pt idx="2">
                  <c:v>اعتبارات اختصاصی : 56.206 میلیون ریال</c:v>
                </c:pt>
              </c:strCache>
            </c:strRef>
          </c:cat>
          <c:val>
            <c:numRef>
              <c:f>ن2!$B$36:$B$38</c:f>
              <c:numCache>
                <c:formatCode>#,##0</c:formatCode>
                <c:ptCount val="3"/>
                <c:pt idx="0">
                  <c:v>145500</c:v>
                </c:pt>
                <c:pt idx="1">
                  <c:v>19590</c:v>
                </c:pt>
                <c:pt idx="2">
                  <c:v>56206</c:v>
                </c:pt>
              </c:numCache>
            </c:numRef>
          </c:val>
          <c:extLst>
            <c:ext xmlns:c16="http://schemas.microsoft.com/office/drawing/2014/chart" uri="{C3380CC4-5D6E-409C-BE32-E72D297353CC}">
              <c16:uniqueId val="{00000006-F244-4BC0-8BBB-1D9B9D7E123E}"/>
            </c:ext>
          </c:extLst>
        </c:ser>
        <c:dLbls>
          <c:showLegendKey val="0"/>
          <c:showVal val="0"/>
          <c:showCatName val="0"/>
          <c:showSerName val="0"/>
          <c:showPercent val="1"/>
          <c:showBubbleSize val="0"/>
          <c:showLeaderLines val="0"/>
        </c:dLbls>
      </c:pie3DChart>
      <c:spPr>
        <a:noFill/>
        <a:ln w="25400">
          <a:noFill/>
        </a:ln>
      </c:spPr>
    </c:plotArea>
    <c:legend>
      <c:legendPos val="r"/>
      <c:layout>
        <c:manualLayout>
          <c:xMode val="edge"/>
          <c:yMode val="edge"/>
          <c:x val="0.67057917760280472"/>
          <c:y val="0.49456009317163541"/>
          <c:w val="0.27196238777484288"/>
          <c:h val="0.24935868546978252"/>
        </c:manualLayout>
      </c:layout>
      <c:overlay val="0"/>
      <c:txPr>
        <a:bodyPr/>
        <a:lstStyle/>
        <a:p>
          <a:pPr>
            <a:defRPr sz="900" b="1" i="0" u="none" strike="noStrike" baseline="0">
              <a:solidFill>
                <a:srgbClr val="000000"/>
              </a:solidFill>
              <a:latin typeface="Calibri"/>
              <a:ea typeface="Calibri"/>
              <a:cs typeface="B Titr" panose="00000700000000000000" pitchFamily="2" charset="-78"/>
            </a:defRPr>
          </a:pPr>
          <a:endParaRPr lang="en-US"/>
        </a:p>
      </c:txPr>
    </c:legend>
    <c:plotVisOnly val="1"/>
    <c:dispBlanksAs val="zero"/>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4803149606299635" l="0.7086614173228396" r="0.7086614173228396" t="0.74803149606299635" header="0.31496062992126383" footer="0.31496062992126383"/>
    <c:pageSetup paperSize="9" orientation="landscape"/>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B Titr"/>
                <a:ea typeface="B Titr"/>
                <a:cs typeface="B Titr"/>
              </a:defRPr>
            </a:pPr>
            <a:r>
              <a:rPr lang="fa-IR" sz="1600" b="1" i="0" u="none" strike="noStrike" baseline="0">
                <a:effectLst/>
              </a:rPr>
              <a:t>پارک علم و فناوری استان خراسان رضوی</a:t>
            </a:r>
            <a:r>
              <a:rPr lang="fa-IR" sz="1400"/>
              <a:t>
     مقایسه اعتبارات مصوب سال1398</a:t>
            </a:r>
            <a:r>
              <a:rPr lang="en-US" sz="1400"/>
              <a:t> </a:t>
            </a:r>
            <a:r>
              <a:rPr lang="fa-IR" sz="1400"/>
              <a:t> با تخصیص و وجوه دریافتی از خزانه     </a:t>
            </a:r>
          </a:p>
        </c:rich>
      </c:tx>
      <c:layout>
        <c:manualLayout>
          <c:xMode val="edge"/>
          <c:yMode val="edge"/>
          <c:x val="0.25686660834062625"/>
          <c:y val="0"/>
        </c:manualLayout>
      </c:layout>
      <c:overlay val="0"/>
      <c:spPr>
        <a:noFill/>
        <a:ln w="25400">
          <a:noFill/>
        </a:ln>
      </c:spPr>
    </c:title>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6.983240223463752E-2"/>
          <c:y val="0.21716305785753068"/>
          <c:w val="0.78351955307262233"/>
          <c:h val="0.6742562683479747"/>
        </c:manualLayout>
      </c:layout>
      <c:bar3DChart>
        <c:barDir val="col"/>
        <c:grouping val="clustered"/>
        <c:varyColors val="0"/>
        <c:ser>
          <c:idx val="0"/>
          <c:order val="0"/>
          <c:tx>
            <c:strRef>
              <c:f>ن1!$A$38</c:f>
              <c:strCache>
                <c:ptCount val="1"/>
                <c:pt idx="0">
                  <c:v>مصوب</c:v>
                </c:pt>
              </c:strCache>
            </c:strRef>
          </c:tx>
          <c:spPr>
            <a:solidFill>
              <a:srgbClr val="00B050"/>
            </a:solidFill>
          </c:spPr>
          <c:invertIfNegative val="0"/>
          <c:dLbls>
            <c:dLbl>
              <c:idx val="0"/>
              <c:layout>
                <c:manualLayout>
                  <c:x val="0"/>
                  <c:y val="-1.85471406491499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62-4ED5-B007-E9D48D0B447E}"/>
                </c:ext>
              </c:extLst>
            </c:dLbl>
            <c:dLbl>
              <c:idx val="1"/>
              <c:layout>
                <c:manualLayout>
                  <c:x val="5.4807538258742735E-17"/>
                  <c:y val="-3.09119010819168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62-4ED5-B007-E9D48D0B447E}"/>
                </c:ext>
              </c:extLst>
            </c:dLbl>
            <c:dLbl>
              <c:idx val="2"/>
              <c:layout>
                <c:manualLayout>
                  <c:x val="0"/>
                  <c:y val="-2.6790314270994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62-4ED5-B007-E9D48D0B447E}"/>
                </c:ext>
              </c:extLst>
            </c:dLbl>
            <c:spPr>
              <a:noFill/>
              <a:ln>
                <a:noFill/>
              </a:ln>
              <a:effectLst/>
            </c:spPr>
            <c:txPr>
              <a:bodyPr rot="-5400000" vert="horz"/>
              <a:lstStyle/>
              <a:p>
                <a:pPr algn="ctr" rtl="0">
                  <a:defRPr sz="1000" b="0" i="0" u="none" strike="noStrike"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ن1!$E$39:$E$41</c:f>
              <c:strCache>
                <c:ptCount val="3"/>
                <c:pt idx="0">
                  <c:v>اعتبارات جاری</c:v>
                </c:pt>
                <c:pt idx="1">
                  <c:v>اعتبارات سرمایه ای</c:v>
                </c:pt>
                <c:pt idx="2">
                  <c:v>اعتبارات اختصاصی</c:v>
                </c:pt>
              </c:strCache>
            </c:strRef>
          </c:cat>
          <c:val>
            <c:numRef>
              <c:f>ن1!$B$39:$B$41</c:f>
              <c:numCache>
                <c:formatCode>#,##0</c:formatCode>
                <c:ptCount val="3"/>
                <c:pt idx="0">
                  <c:v>145500</c:v>
                </c:pt>
                <c:pt idx="1">
                  <c:v>19590</c:v>
                </c:pt>
                <c:pt idx="2">
                  <c:v>56206</c:v>
                </c:pt>
              </c:numCache>
            </c:numRef>
          </c:val>
          <c:extLst>
            <c:ext xmlns:c16="http://schemas.microsoft.com/office/drawing/2014/chart" uri="{C3380CC4-5D6E-409C-BE32-E72D297353CC}">
              <c16:uniqueId val="{00000003-4262-4ED5-B007-E9D48D0B447E}"/>
            </c:ext>
          </c:extLst>
        </c:ser>
        <c:ser>
          <c:idx val="1"/>
          <c:order val="1"/>
          <c:tx>
            <c:strRef>
              <c:f>ن1!$A$43</c:f>
              <c:strCache>
                <c:ptCount val="1"/>
                <c:pt idx="0">
                  <c:v>تخصیص</c:v>
                </c:pt>
              </c:strCache>
            </c:strRef>
          </c:tx>
          <c:spPr>
            <a:solidFill>
              <a:schemeClr val="bg1">
                <a:lumMod val="95000"/>
              </a:schemeClr>
            </a:solidFill>
          </c:spPr>
          <c:invertIfNegative val="0"/>
          <c:dLbls>
            <c:dLbl>
              <c:idx val="0"/>
              <c:layout>
                <c:manualLayout>
                  <c:x val="1.4494489733475481E-2"/>
                  <c:y val="-1.9361314286207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62-4ED5-B007-E9D48D0B447E}"/>
                </c:ext>
              </c:extLst>
            </c:dLbl>
            <c:dLbl>
              <c:idx val="1"/>
              <c:layout>
                <c:manualLayout>
                  <c:x val="2.3169054581601237E-2"/>
                  <c:y val="-2.06197556346621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62-4ED5-B007-E9D48D0B447E}"/>
                </c:ext>
              </c:extLst>
            </c:dLbl>
            <c:dLbl>
              <c:idx val="2"/>
              <c:layout>
                <c:manualLayout>
                  <c:x val="1.6465718470690935E-2"/>
                  <c:y val="-1.7945224099281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262-4ED5-B007-E9D48D0B447E}"/>
                </c:ext>
              </c:extLst>
            </c:dLbl>
            <c:spPr>
              <a:noFill/>
              <a:ln w="25400">
                <a:noFill/>
              </a:ln>
            </c:spPr>
            <c:txPr>
              <a:bodyPr rot="-5400000" vert="horz"/>
              <a:lstStyle/>
              <a:p>
                <a:pPr algn="ctr" rtl="0">
                  <a:defRPr sz="1000" b="0" i="0" u="none" strike="noStrike"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ن1!$E$39:$E$41</c:f>
              <c:strCache>
                <c:ptCount val="3"/>
                <c:pt idx="0">
                  <c:v>اعتبارات جاری</c:v>
                </c:pt>
                <c:pt idx="1">
                  <c:v>اعتبارات سرمایه ای</c:v>
                </c:pt>
                <c:pt idx="2">
                  <c:v>اعتبارات اختصاصی</c:v>
                </c:pt>
              </c:strCache>
            </c:strRef>
          </c:cat>
          <c:val>
            <c:numRef>
              <c:f>ن1!$B$43:$B$45</c:f>
              <c:numCache>
                <c:formatCode>#,##0</c:formatCode>
                <c:ptCount val="3"/>
                <c:pt idx="0">
                  <c:v>116221</c:v>
                </c:pt>
                <c:pt idx="1">
                  <c:v>17240</c:v>
                </c:pt>
                <c:pt idx="2">
                  <c:v>54519.82</c:v>
                </c:pt>
              </c:numCache>
            </c:numRef>
          </c:val>
          <c:extLst>
            <c:ext xmlns:c16="http://schemas.microsoft.com/office/drawing/2014/chart" uri="{C3380CC4-5D6E-409C-BE32-E72D297353CC}">
              <c16:uniqueId val="{00000007-4262-4ED5-B007-E9D48D0B447E}"/>
            </c:ext>
          </c:extLst>
        </c:ser>
        <c:ser>
          <c:idx val="2"/>
          <c:order val="2"/>
          <c:tx>
            <c:strRef>
              <c:f>ن1!$A$47</c:f>
              <c:strCache>
                <c:ptCount val="1"/>
                <c:pt idx="0">
                  <c:v>دریافتی از خزانه</c:v>
                </c:pt>
              </c:strCache>
            </c:strRef>
          </c:tx>
          <c:invertIfNegative val="0"/>
          <c:dLbls>
            <c:dLbl>
              <c:idx val="0"/>
              <c:layout>
                <c:manualLayout>
                  <c:x val="1.1241527915428423E-2"/>
                  <c:y val="-2.143983397352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262-4ED5-B007-E9D48D0B447E}"/>
                </c:ext>
              </c:extLst>
            </c:dLbl>
            <c:dLbl>
              <c:idx val="1"/>
              <c:layout>
                <c:manualLayout>
                  <c:x val="1.8735879859047306E-2"/>
                  <c:y val="-1.90576301986908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262-4ED5-B007-E9D48D0B447E}"/>
                </c:ext>
              </c:extLst>
            </c:dLbl>
            <c:dLbl>
              <c:idx val="2"/>
              <c:layout>
                <c:manualLayout>
                  <c:x val="2.0609467844951889E-2"/>
                  <c:y val="-2.143983397352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262-4ED5-B007-E9D48D0B447E}"/>
                </c:ext>
              </c:extLst>
            </c:dLbl>
            <c:spPr>
              <a:noFill/>
              <a:ln>
                <a:noFill/>
              </a:ln>
              <a:effectLst/>
            </c:spPr>
            <c:txPr>
              <a:bodyPr rot="-5400000" vert="horz"/>
              <a:lstStyle/>
              <a:p>
                <a:pPr algn="ctr" rtl="0">
                  <a:defRPr sz="1000" b="0" i="0" u="none" strike="noStrike"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ن1!$B$47:$B$49</c:f>
              <c:numCache>
                <c:formatCode>#,##0</c:formatCode>
                <c:ptCount val="3"/>
                <c:pt idx="0">
                  <c:v>116221</c:v>
                </c:pt>
                <c:pt idx="1">
                  <c:v>17240</c:v>
                </c:pt>
                <c:pt idx="2">
                  <c:v>54519.82</c:v>
                </c:pt>
              </c:numCache>
            </c:numRef>
          </c:val>
          <c:extLst>
            <c:ext xmlns:c16="http://schemas.microsoft.com/office/drawing/2014/chart" uri="{C3380CC4-5D6E-409C-BE32-E72D297353CC}">
              <c16:uniqueId val="{0000000B-4262-4ED5-B007-E9D48D0B447E}"/>
            </c:ext>
          </c:extLst>
        </c:ser>
        <c:dLbls>
          <c:showLegendKey val="0"/>
          <c:showVal val="0"/>
          <c:showCatName val="0"/>
          <c:showSerName val="0"/>
          <c:showPercent val="0"/>
          <c:showBubbleSize val="0"/>
        </c:dLbls>
        <c:gapWidth val="150"/>
        <c:shape val="box"/>
        <c:axId val="228920656"/>
        <c:axId val="228921216"/>
        <c:axId val="0"/>
      </c:bar3DChart>
      <c:catAx>
        <c:axId val="228920656"/>
        <c:scaling>
          <c:orientation val="minMax"/>
        </c:scaling>
        <c:delete val="0"/>
        <c:axPos val="b"/>
        <c:numFmt formatCode="General" sourceLinked="1"/>
        <c:majorTickMark val="none"/>
        <c:minorTickMark val="none"/>
        <c:tickLblPos val="nextTo"/>
        <c:txPr>
          <a:bodyPr rot="0" vert="horz"/>
          <a:lstStyle/>
          <a:p>
            <a:pPr>
              <a:defRPr sz="1000" b="1" i="0" u="none" strike="noStrike" baseline="0">
                <a:solidFill>
                  <a:srgbClr val="000000"/>
                </a:solidFill>
                <a:latin typeface="Calibri"/>
                <a:ea typeface="Calibri"/>
                <a:cs typeface="B Titr" panose="00000700000000000000" pitchFamily="2" charset="-78"/>
              </a:defRPr>
            </a:pPr>
            <a:endParaRPr lang="en-US"/>
          </a:p>
        </c:txPr>
        <c:crossAx val="228921216"/>
        <c:crosses val="autoZero"/>
        <c:auto val="1"/>
        <c:lblAlgn val="ctr"/>
        <c:lblOffset val="100"/>
        <c:noMultiLvlLbl val="0"/>
      </c:catAx>
      <c:valAx>
        <c:axId val="228921216"/>
        <c:scaling>
          <c:orientation val="minMax"/>
        </c:scaling>
        <c:delete val="0"/>
        <c:axPos val="l"/>
        <c:majorGridlines/>
        <c:numFmt formatCode="[$-3010000]#,###" sourceLinked="0"/>
        <c:majorTickMark val="none"/>
        <c:minorTickMark val="none"/>
        <c:tickLblPos val="nextTo"/>
        <c:spPr>
          <a:ln/>
        </c:spPr>
        <c:txPr>
          <a:bodyPr rot="0" vert="horz"/>
          <a:lstStyle/>
          <a:p>
            <a:pPr>
              <a:defRPr sz="1000" b="1" i="0" u="none" strike="noStrike" baseline="0">
                <a:solidFill>
                  <a:srgbClr val="000000"/>
                </a:solidFill>
                <a:latin typeface="Calibri"/>
                <a:ea typeface="Calibri"/>
                <a:cs typeface="B Titr" panose="00000700000000000000" pitchFamily="2" charset="-78"/>
              </a:defRPr>
            </a:pPr>
            <a:endParaRPr lang="en-US"/>
          </a:p>
        </c:txPr>
        <c:crossAx val="228920656"/>
        <c:crosses val="autoZero"/>
        <c:crossBetween val="between"/>
      </c:valAx>
      <c:spPr>
        <a:noFill/>
        <a:ln w="25400">
          <a:noFill/>
        </a:ln>
      </c:spPr>
    </c:plotArea>
    <c:legend>
      <c:legendPos val="r"/>
      <c:layout>
        <c:manualLayout>
          <c:xMode val="edge"/>
          <c:yMode val="edge"/>
          <c:x val="0.8547255759696748"/>
          <c:y val="0.49539695421081015"/>
          <c:w val="0.13402517093779009"/>
          <c:h val="0.19990903240824776"/>
        </c:manualLayout>
      </c:layout>
      <c:overlay val="0"/>
      <c:txPr>
        <a:bodyPr/>
        <a:lstStyle/>
        <a:p>
          <a:pPr>
            <a:defRPr sz="1000" b="1" i="0" u="none" strike="noStrike" baseline="0">
              <a:solidFill>
                <a:srgbClr val="000000"/>
              </a:solidFill>
              <a:latin typeface="Calibri"/>
              <a:ea typeface="Calibri"/>
              <a:cs typeface="B Titr" panose="00000700000000000000" pitchFamily="2" charset="-78"/>
            </a:defRPr>
          </a:pPr>
          <a:endParaRPr lang="en-US"/>
        </a:p>
      </c:txPr>
    </c:legend>
    <c:plotVisOnly val="1"/>
    <c:dispBlanksAs val="gap"/>
    <c:showDLblsOverMax val="0"/>
  </c:chart>
  <c:spPr>
    <a:ln>
      <a:noFill/>
    </a:ln>
  </c:spPr>
  <c:txPr>
    <a:bodyPr/>
    <a:lstStyle/>
    <a:p>
      <a:pPr>
        <a:defRPr sz="1000" b="1" i="0" u="none" strike="noStrike" baseline="0">
          <a:solidFill>
            <a:srgbClr val="000000"/>
          </a:solidFill>
          <a:latin typeface="Calibri"/>
          <a:ea typeface="Calibri"/>
          <a:cs typeface="Calibri"/>
        </a:defRPr>
      </a:pPr>
      <a:endParaRPr lang="en-US"/>
    </a:p>
  </c:txPr>
  <c:printSettings>
    <c:headerFooter>
      <c:oddFooter>&amp;C&amp;"B Titr,Bold"&amp;14 6</c:oddFooter>
    </c:headerFooter>
    <c:pageMargins b="0.7480314960629959" l="0.70866141732283894" r="0.70866141732283894" t="0.7480314960629959" header="0.31496062992126339" footer="0.31496062992126339"/>
    <c:pageSetup paperSize="9" orientation="landscape"/>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fa-IR" sz="1400" b="1" i="0" u="none" strike="noStrike" baseline="0">
                <a:solidFill>
                  <a:srgbClr val="000000"/>
                </a:solidFill>
                <a:cs typeface="B Titr"/>
              </a:rPr>
              <a:t>پارک علم و فناوری استان خراسان</a:t>
            </a:r>
          </a:p>
          <a:p>
            <a:pPr>
              <a:defRPr sz="1000" b="0" i="0" u="none" strike="noStrike" baseline="0">
                <a:solidFill>
                  <a:srgbClr val="000000"/>
                </a:solidFill>
                <a:latin typeface="Calibri"/>
                <a:ea typeface="Calibri"/>
                <a:cs typeface="Calibri"/>
              </a:defRPr>
            </a:pPr>
            <a:r>
              <a:rPr lang="fa-IR" sz="1400" b="1" i="0" u="none" strike="noStrike" baseline="0">
                <a:solidFill>
                  <a:srgbClr val="000000"/>
                </a:solidFill>
                <a:cs typeface="B Titr"/>
              </a:rPr>
              <a:t>     وضعیت اعتبارات مصوب جاری سال 1398</a:t>
            </a:r>
          </a:p>
        </c:rich>
      </c:tx>
      <c:layout>
        <c:manualLayout>
          <c:xMode val="edge"/>
          <c:yMode val="edge"/>
          <c:x val="0.31515525403074618"/>
          <c:y val="1.0796122121687787E-2"/>
        </c:manualLayout>
      </c:layout>
      <c:overlay val="0"/>
      <c:spPr>
        <a:noFill/>
        <a:ln w="25400">
          <a:noFill/>
        </a:ln>
      </c:spPr>
    </c:title>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6.8340399914465541E-2"/>
          <c:y val="0.19902944071956041"/>
          <c:w val="0.70153512565257481"/>
          <c:h val="0.69903023081991877"/>
        </c:manualLayout>
      </c:layout>
      <c:bar3DChart>
        <c:barDir val="col"/>
        <c:grouping val="clustered"/>
        <c:varyColors val="0"/>
        <c:ser>
          <c:idx val="0"/>
          <c:order val="0"/>
          <c:tx>
            <c:strRef>
              <c:f>ن3!$A$32</c:f>
              <c:strCache>
                <c:ptCount val="1"/>
                <c:pt idx="0">
                  <c:v>دریافتی از خزانه</c:v>
                </c:pt>
              </c:strCache>
            </c:strRef>
          </c:tx>
          <c:spPr>
            <a:solidFill>
              <a:srgbClr val="00B050"/>
            </a:solidFill>
          </c:spPr>
          <c:invertIfNegative val="0"/>
          <c:dLbls>
            <c:dLbl>
              <c:idx val="0"/>
              <c:layout>
                <c:manualLayout>
                  <c:x val="-4.8270502500036673E-3"/>
                  <c:y val="-2.44848092104935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DD-4B7F-AA66-90FC349C0DF4}"/>
                </c:ext>
              </c:extLst>
            </c:dLbl>
            <c:dLbl>
              <c:idx val="1"/>
              <c:layout>
                <c:manualLayout>
                  <c:x val="4.4839367146146409E-3"/>
                  <c:y val="-8.71815791501477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D-4B7F-AA66-90FC349C0DF4}"/>
                </c:ext>
              </c:extLst>
            </c:dLbl>
            <c:dLbl>
              <c:idx val="2"/>
              <c:layout>
                <c:manualLayout>
                  <c:x val="2.6217393216909643E-3"/>
                  <c:y val="-1.7946190774232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D-4B7F-AA66-90FC349C0DF4}"/>
                </c:ext>
              </c:extLst>
            </c:dLbl>
            <c:spPr>
              <a:noFill/>
              <a:ln w="25400">
                <a:noFill/>
              </a:ln>
            </c:spPr>
            <c:txPr>
              <a:bodyPr rot="-5400000" vert="horz"/>
              <a:lstStyle/>
              <a:p>
                <a:pPr algn="ctr">
                  <a:defRPr sz="1000" b="0" i="0" u="none" strike="noStrike"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ن3!$D$33:$D$35</c:f>
              <c:strCache>
                <c:ptCount val="3"/>
                <c:pt idx="0">
                  <c:v>اعتبارات جاری</c:v>
                </c:pt>
                <c:pt idx="1">
                  <c:v>اعتبارات سرمایه ای</c:v>
                </c:pt>
                <c:pt idx="2">
                  <c:v>اعتبارات اختصاصی</c:v>
                </c:pt>
              </c:strCache>
            </c:strRef>
          </c:cat>
          <c:val>
            <c:numRef>
              <c:f>ن3!$A$33:$A$35</c:f>
              <c:numCache>
                <c:formatCode>#,##0</c:formatCode>
                <c:ptCount val="3"/>
                <c:pt idx="0">
                  <c:v>116221</c:v>
                </c:pt>
                <c:pt idx="1">
                  <c:v>17240</c:v>
                </c:pt>
                <c:pt idx="2">
                  <c:v>54519.82</c:v>
                </c:pt>
              </c:numCache>
            </c:numRef>
          </c:val>
          <c:extLst>
            <c:ext xmlns:c16="http://schemas.microsoft.com/office/drawing/2014/chart" uri="{C3380CC4-5D6E-409C-BE32-E72D297353CC}">
              <c16:uniqueId val="{00000003-EADD-4B7F-AA66-90FC349C0DF4}"/>
            </c:ext>
          </c:extLst>
        </c:ser>
        <c:ser>
          <c:idx val="3"/>
          <c:order val="1"/>
          <c:tx>
            <c:strRef>
              <c:f>ن3!$A$36</c:f>
              <c:strCache>
                <c:ptCount val="1"/>
                <c:pt idx="0">
                  <c:v>هزینه</c:v>
                </c:pt>
              </c:strCache>
            </c:strRef>
          </c:tx>
          <c:invertIfNegative val="0"/>
          <c:dLbls>
            <c:dLbl>
              <c:idx val="0"/>
              <c:layout>
                <c:manualLayout>
                  <c:x val="2.0484171322160211E-2"/>
                  <c:y val="-1.52567763512758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DD-4B7F-AA66-90FC349C0DF4}"/>
                </c:ext>
              </c:extLst>
            </c:dLbl>
            <c:dLbl>
              <c:idx val="1"/>
              <c:layout>
                <c:manualLayout>
                  <c:x val="1.1504865196387274E-2"/>
                  <c:y val="-2.31244335047318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D-4B7F-AA66-90FC349C0DF4}"/>
                </c:ext>
              </c:extLst>
            </c:dLbl>
            <c:dLbl>
              <c:idx val="2"/>
              <c:layout>
                <c:manualLayout>
                  <c:x val="4.537719525580827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FD-4EA4-AFFC-910B3888BD77}"/>
                </c:ext>
              </c:extLst>
            </c:dLbl>
            <c:spPr>
              <a:noFill/>
              <a:ln>
                <a:noFill/>
              </a:ln>
              <a:effectLst/>
            </c:spPr>
            <c:txPr>
              <a:bodyPr rot="-5400000" vert="horz" anchorCtr="0"/>
              <a:lstStyle/>
              <a:p>
                <a:pPr algn="ctr">
                  <a:defRPr lang="fa-IR" sz="1050" b="0" i="0" u="none" strike="noStrike" kern="1200"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ن3!$D$33:$D$35</c:f>
              <c:strCache>
                <c:ptCount val="3"/>
                <c:pt idx="0">
                  <c:v>اعتبارات جاری</c:v>
                </c:pt>
                <c:pt idx="1">
                  <c:v>اعتبارات سرمایه ای</c:v>
                </c:pt>
                <c:pt idx="2">
                  <c:v>اعتبارات اختصاصی</c:v>
                </c:pt>
              </c:strCache>
            </c:strRef>
          </c:cat>
          <c:val>
            <c:numRef>
              <c:f>ن3!$A$37:$A$39</c:f>
              <c:numCache>
                <c:formatCode>#,##0</c:formatCode>
                <c:ptCount val="3"/>
                <c:pt idx="0">
                  <c:v>68503.878402999995</c:v>
                </c:pt>
                <c:pt idx="1">
                  <c:v>14390</c:v>
                </c:pt>
                <c:pt idx="2">
                  <c:v>31672.946329999999</c:v>
                </c:pt>
              </c:numCache>
            </c:numRef>
          </c:val>
          <c:extLst>
            <c:ext xmlns:c16="http://schemas.microsoft.com/office/drawing/2014/chart" uri="{C3380CC4-5D6E-409C-BE32-E72D297353CC}">
              <c16:uniqueId val="{00000006-EADD-4B7F-AA66-90FC349C0DF4}"/>
            </c:ext>
          </c:extLst>
        </c:ser>
        <c:ser>
          <c:idx val="1"/>
          <c:order val="2"/>
          <c:tx>
            <c:strRef>
              <c:f>ن3!$A$40</c:f>
              <c:strCache>
                <c:ptCount val="1"/>
                <c:pt idx="0">
                  <c:v>پیش پرداخت و علی الحساب</c:v>
                </c:pt>
              </c:strCache>
            </c:strRef>
          </c:tx>
          <c:spPr>
            <a:solidFill>
              <a:schemeClr val="bg1">
                <a:lumMod val="95000"/>
              </a:schemeClr>
            </a:solidFill>
          </c:spPr>
          <c:invertIfNegative val="0"/>
          <c:dLbls>
            <c:dLbl>
              <c:idx val="0"/>
              <c:layout>
                <c:manualLayout>
                  <c:x val="1.1954280854557985E-2"/>
                  <c:y val="-5.28188224342918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D-4B7F-AA66-90FC349C0DF4}"/>
                </c:ext>
              </c:extLst>
            </c:dLbl>
            <c:dLbl>
              <c:idx val="1"/>
              <c:layout>
                <c:manualLayout>
                  <c:x val="8.3238905481643477E-3"/>
                  <c:y val="-3.2208368649706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D-4B7F-AA66-90FC349C0DF4}"/>
                </c:ext>
              </c:extLst>
            </c:dLbl>
            <c:dLbl>
              <c:idx val="2"/>
              <c:layout>
                <c:manualLayout>
                  <c:x val="7.5925218382218431E-3"/>
                  <c:y val="-1.9108642516248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ADD-4B7F-AA66-90FC349C0DF4}"/>
                </c:ext>
              </c:extLst>
            </c:dLbl>
            <c:spPr>
              <a:noFill/>
              <a:ln w="25400">
                <a:noFill/>
              </a:ln>
            </c:spPr>
            <c:txPr>
              <a:bodyPr rot="-5400000" vert="horz"/>
              <a:lstStyle/>
              <a:p>
                <a:pPr algn="ctr">
                  <a:defRPr sz="1000" b="0" i="0" u="none" strike="noStrike"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ن3!$D$33:$D$35</c:f>
              <c:strCache>
                <c:ptCount val="3"/>
                <c:pt idx="0">
                  <c:v>اعتبارات جاری</c:v>
                </c:pt>
                <c:pt idx="1">
                  <c:v>اعتبارات سرمایه ای</c:v>
                </c:pt>
                <c:pt idx="2">
                  <c:v>اعتبارات اختصاصی</c:v>
                </c:pt>
              </c:strCache>
            </c:strRef>
          </c:cat>
          <c:val>
            <c:numRef>
              <c:f>ن3!$A$41:$A$43</c:f>
              <c:numCache>
                <c:formatCode>#,##0</c:formatCode>
                <c:ptCount val="3"/>
                <c:pt idx="0">
                  <c:v>790.99</c:v>
                </c:pt>
                <c:pt idx="1">
                  <c:v>0</c:v>
                </c:pt>
                <c:pt idx="2">
                  <c:v>551.6</c:v>
                </c:pt>
              </c:numCache>
            </c:numRef>
          </c:val>
          <c:extLst>
            <c:ext xmlns:c16="http://schemas.microsoft.com/office/drawing/2014/chart" uri="{C3380CC4-5D6E-409C-BE32-E72D297353CC}">
              <c16:uniqueId val="{0000000A-EADD-4B7F-AA66-90FC349C0DF4}"/>
            </c:ext>
          </c:extLst>
        </c:ser>
        <c:ser>
          <c:idx val="4"/>
          <c:order val="3"/>
          <c:tx>
            <c:strRef>
              <c:f>ن3!$A$44</c:f>
              <c:strCache>
                <c:ptCount val="1"/>
                <c:pt idx="0">
                  <c:v>حمایت مالی مستقیم از واحد های فناور</c:v>
                </c:pt>
              </c:strCache>
            </c:strRef>
          </c:tx>
          <c:invertIfNegative val="1"/>
          <c:dLbls>
            <c:dLbl>
              <c:idx val="0"/>
              <c:numFmt formatCode="[$-3010000]General" sourceLinked="0"/>
              <c:spPr>
                <a:noFill/>
                <a:ln cap="rnd">
                  <a:noFill/>
                </a:ln>
                <a:effectLst/>
              </c:spPr>
              <c:txPr>
                <a:bodyPr rot="-5400000" vertOverflow="overflow" horzOverflow="overflow" vert="horz" wrap="square" lIns="38100" tIns="19050" rIns="38100" bIns="19050" anchor="ctr" anchorCtr="0">
                  <a:spAutoFit/>
                </a:bodyPr>
                <a:lstStyle/>
                <a:p>
                  <a:pPr>
                    <a:defRPr sz="1200" b="1">
                      <a:solidFill>
                        <a:srgbClr val="000000"/>
                      </a:solidFill>
                      <a:effectLst>
                        <a:outerShdw blurRad="50800" dist="38100" dir="5400000" algn="ctr" rotWithShape="0">
                          <a:srgbClr val="000000">
                            <a:alpha val="43137"/>
                          </a:srgbClr>
                        </a:outerShdw>
                      </a:effectLst>
                      <a:cs typeface="B Mitra" panose="00000400000000000000" pitchFamily="2" charset="-78"/>
                    </a:defRPr>
                  </a:pPr>
                  <a:endParaRPr lang="en-US"/>
                </a:p>
              </c:txPr>
              <c:showLegendKey val="0"/>
              <c:showVal val="1"/>
              <c:showCatName val="0"/>
              <c:showSerName val="0"/>
              <c:showPercent val="0"/>
              <c:showBubbleSize val="0"/>
              <c:extLst>
                <c:ext xmlns:c16="http://schemas.microsoft.com/office/drawing/2014/chart" uri="{C3380CC4-5D6E-409C-BE32-E72D297353CC}">
                  <c16:uniqueId val="{00000000-D211-4B76-B4C2-F4EE07175C3E}"/>
                </c:ext>
              </c:extLst>
            </c:dLbl>
            <c:dLbl>
              <c:idx val="1"/>
              <c:numFmt formatCode="[$-3010000]General" sourceLinked="0"/>
              <c:spPr>
                <a:noFill/>
                <a:ln cap="rnd">
                  <a:noFill/>
                </a:ln>
                <a:effectLst/>
              </c:spPr>
              <c:txPr>
                <a:bodyPr rot="-5400000" vertOverflow="overflow" horzOverflow="overflow" vert="horz" wrap="square" lIns="38100" tIns="19050" rIns="38100" bIns="19050" anchor="ctr" anchorCtr="0">
                  <a:spAutoFit/>
                </a:bodyPr>
                <a:lstStyle/>
                <a:p>
                  <a:pPr>
                    <a:defRPr sz="1200" b="1">
                      <a:solidFill>
                        <a:srgbClr val="000000"/>
                      </a:solidFill>
                      <a:effectLst>
                        <a:outerShdw blurRad="50800" dist="38100" dir="5400000" algn="ctr" rotWithShape="0">
                          <a:srgbClr val="000000">
                            <a:alpha val="43137"/>
                          </a:srgbClr>
                        </a:outerShdw>
                      </a:effectLst>
                      <a:cs typeface="B Mitra" panose="00000400000000000000" pitchFamily="2" charset="-78"/>
                    </a:defRPr>
                  </a:pPr>
                  <a:endParaRPr lang="en-US"/>
                </a:p>
              </c:txPr>
              <c:showLegendKey val="0"/>
              <c:showVal val="1"/>
              <c:showCatName val="0"/>
              <c:showSerName val="0"/>
              <c:showPercent val="0"/>
              <c:showBubbleSize val="0"/>
              <c:extLst>
                <c:ext xmlns:c16="http://schemas.microsoft.com/office/drawing/2014/chart" uri="{C3380CC4-5D6E-409C-BE32-E72D297353CC}">
                  <c16:uniqueId val="{00000001-D211-4B76-B4C2-F4EE07175C3E}"/>
                </c:ext>
              </c:extLst>
            </c:dLbl>
            <c:dLbl>
              <c:idx val="2"/>
              <c:numFmt formatCode="[$-3010000]#\.###" sourceLinked="0"/>
              <c:spPr>
                <a:noFill/>
                <a:ln cap="rnd">
                  <a:noFill/>
                </a:ln>
                <a:effectLst/>
              </c:spPr>
              <c:txPr>
                <a:bodyPr rot="-5400000" vertOverflow="overflow" horzOverflow="overflow" vert="horz" wrap="square" lIns="38100" tIns="19050" rIns="38100" bIns="19050" anchor="ctr" anchorCtr="0">
                  <a:spAutoFit/>
                </a:bodyPr>
                <a:lstStyle/>
                <a:p>
                  <a:pPr>
                    <a:defRPr sz="1200" b="1">
                      <a:solidFill>
                        <a:srgbClr val="000000"/>
                      </a:solidFill>
                      <a:effectLst>
                        <a:outerShdw blurRad="50800" dist="38100" dir="5400000" algn="ctr" rotWithShape="0">
                          <a:srgbClr val="000000">
                            <a:alpha val="43137"/>
                          </a:srgbClr>
                        </a:outerShdw>
                      </a:effectLst>
                      <a:cs typeface="B Mitra" panose="00000400000000000000" pitchFamily="2" charset="-78"/>
                    </a:defRPr>
                  </a:pPr>
                  <a:endParaRPr lang="en-US"/>
                </a:p>
              </c:txPr>
              <c:showLegendKey val="0"/>
              <c:showVal val="1"/>
              <c:showCatName val="0"/>
              <c:showSerName val="0"/>
              <c:showPercent val="0"/>
              <c:showBubbleSize val="0"/>
              <c:extLst>
                <c:ext xmlns:c16="http://schemas.microsoft.com/office/drawing/2014/chart" uri="{C3380CC4-5D6E-409C-BE32-E72D297353CC}">
                  <c16:uniqueId val="{00000002-D211-4B76-B4C2-F4EE07175C3E}"/>
                </c:ext>
              </c:extLst>
            </c:dLbl>
            <c:numFmt formatCode="#,##0;\-#,##0" sourceLinked="0"/>
            <c:spPr>
              <a:noFill/>
              <a:ln cap="rnd">
                <a:noFill/>
              </a:ln>
              <a:effectLst/>
            </c:spPr>
            <c:txPr>
              <a:bodyPr rot="-5400000" vertOverflow="overflow" horzOverflow="overflow" vert="horz" wrap="square" lIns="38100" tIns="19050" rIns="38100" bIns="19050" anchor="ctr" anchorCtr="0">
                <a:spAutoFit/>
              </a:bodyPr>
              <a:lstStyle/>
              <a:p>
                <a:pPr>
                  <a:defRPr sz="1200" b="1">
                    <a:solidFill>
                      <a:srgbClr val="000000"/>
                    </a:solidFill>
                    <a:effectLst>
                      <a:outerShdw blurRad="50800" dist="38100" dir="5400000" algn="ctr" rotWithShape="0">
                        <a:srgbClr val="000000">
                          <a:alpha val="43137"/>
                        </a:srgbClr>
                      </a:outerShdw>
                    </a:effectLst>
                    <a:cs typeface="B Mitra" panose="00000400000000000000"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ن3!$A$45:$A$47</c:f>
              <c:numCache>
                <c:formatCode>#,##0</c:formatCode>
                <c:ptCount val="3"/>
                <c:pt idx="0">
                  <c:v>11707</c:v>
                </c:pt>
                <c:pt idx="1">
                  <c:v>0</c:v>
                </c:pt>
                <c:pt idx="2">
                  <c:v>178.89182400000001</c:v>
                </c:pt>
              </c:numCache>
            </c:numRef>
          </c:val>
          <c:extLst>
            <c:ext xmlns:c16="http://schemas.microsoft.com/office/drawing/2014/chart" uri="{C3380CC4-5D6E-409C-BE32-E72D297353CC}">
              <c16:uniqueId val="{00000000-C1FD-4EA4-AFFC-910B3888BD77}"/>
            </c:ext>
          </c:extLst>
        </c:ser>
        <c:ser>
          <c:idx val="2"/>
          <c:order val="4"/>
          <c:tx>
            <c:strRef>
              <c:f>ن3!$A$48</c:f>
              <c:strCache>
                <c:ptCount val="1"/>
                <c:pt idx="0">
                  <c:v>مانده وجوه مصرف نشده پایان سال</c:v>
                </c:pt>
              </c:strCache>
            </c:strRef>
          </c:tx>
          <c:spPr>
            <a:solidFill>
              <a:srgbClr val="FF0000"/>
            </a:solidFill>
          </c:spPr>
          <c:invertIfNegative val="0"/>
          <c:dLbls>
            <c:dLbl>
              <c:idx val="0"/>
              <c:layout>
                <c:manualLayout>
                  <c:x val="1.007052889338564E-2"/>
                  <c:y val="-3.5892381548465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ADD-4B7F-AA66-90FC349C0DF4}"/>
                </c:ext>
              </c:extLst>
            </c:dLbl>
            <c:dLbl>
              <c:idx val="1"/>
              <c:layout>
                <c:manualLayout>
                  <c:x val="8.0563947633434246E-3"/>
                  <c:y val="-5.378846563531273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ADD-4B7F-AA66-90FC349C0DF4}"/>
                </c:ext>
              </c:extLst>
            </c:dLbl>
            <c:dLbl>
              <c:idx val="2"/>
              <c:layout>
                <c:manualLayout>
                  <c:x val="5.8904089502778631E-3"/>
                  <c:y val="-2.230526973173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ADD-4B7F-AA66-90FC349C0DF4}"/>
                </c:ext>
              </c:extLst>
            </c:dLbl>
            <c:spPr>
              <a:noFill/>
              <a:ln w="25400">
                <a:noFill/>
              </a:ln>
            </c:spPr>
            <c:txPr>
              <a:bodyPr rot="-5400000" vert="horz"/>
              <a:lstStyle/>
              <a:p>
                <a:pPr algn="ctr">
                  <a:defRPr sz="1000" b="0" i="0" u="none" strike="noStrike"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ن3!$D$33:$D$35</c:f>
              <c:strCache>
                <c:ptCount val="3"/>
                <c:pt idx="0">
                  <c:v>اعتبارات جاری</c:v>
                </c:pt>
                <c:pt idx="1">
                  <c:v>اعتبارات سرمایه ای</c:v>
                </c:pt>
                <c:pt idx="2">
                  <c:v>اعتبارات اختصاصی</c:v>
                </c:pt>
              </c:strCache>
            </c:strRef>
          </c:cat>
          <c:val>
            <c:numRef>
              <c:f>ن3!$A$49:$A$51</c:f>
              <c:numCache>
                <c:formatCode>#,##0</c:formatCode>
                <c:ptCount val="3"/>
                <c:pt idx="0">
                  <c:v>35399.141737999998</c:v>
                </c:pt>
                <c:pt idx="1">
                  <c:v>2850</c:v>
                </c:pt>
                <c:pt idx="2">
                  <c:v>13816.381842999999</c:v>
                </c:pt>
              </c:numCache>
            </c:numRef>
          </c:val>
          <c:extLst>
            <c:ext xmlns:c16="http://schemas.microsoft.com/office/drawing/2014/chart" uri="{C3380CC4-5D6E-409C-BE32-E72D297353CC}">
              <c16:uniqueId val="{0000000E-EADD-4B7F-AA66-90FC349C0DF4}"/>
            </c:ext>
          </c:extLst>
        </c:ser>
        <c:dLbls>
          <c:showLegendKey val="0"/>
          <c:showVal val="0"/>
          <c:showCatName val="0"/>
          <c:showSerName val="0"/>
          <c:showPercent val="0"/>
          <c:showBubbleSize val="0"/>
        </c:dLbls>
        <c:gapWidth val="90"/>
        <c:gapDepth val="100"/>
        <c:shape val="box"/>
        <c:axId val="228752944"/>
        <c:axId val="228753504"/>
        <c:axId val="0"/>
        <c:extLst>
          <c:ext xmlns:c15="http://schemas.microsoft.com/office/drawing/2012/chart" uri="{02D57815-91ED-43cb-92C2-25804820EDAC}">
            <c15:filteredBarSeries>
              <c15:ser>
                <c:idx val="5"/>
                <c:order val="5"/>
                <c:tx>
                  <c:strRef>
                    <c:extLst>
                      <c:ext uri="{02D57815-91ED-43cb-92C2-25804820EDAC}">
                        <c15:formulaRef>
                          <c15:sqref>ن3!$D$53</c15:sqref>
                        </c15:formulaRef>
                      </c:ext>
                    </c:extLst>
                    <c:strCache>
                      <c:ptCount val="1"/>
                    </c:strCache>
                  </c:strRef>
                </c:tx>
                <c:invertIfNegative val="0"/>
                <c:val>
                  <c:numLit>
                    <c:formatCode>General</c:formatCode>
                    <c:ptCount val="1"/>
                    <c:pt idx="0">
                      <c:v>1</c:v>
                    </c:pt>
                  </c:numLit>
                </c:val>
                <c:extLst>
                  <c:ext xmlns:c16="http://schemas.microsoft.com/office/drawing/2014/chart" uri="{C3380CC4-5D6E-409C-BE32-E72D297353CC}">
                    <c16:uniqueId val="{00000000-C5C2-4910-82AB-4F25FBD6F85A}"/>
                  </c:ext>
                </c:extLst>
              </c15:ser>
            </c15:filteredBarSeries>
          </c:ext>
        </c:extLst>
      </c:bar3DChart>
      <c:catAx>
        <c:axId val="228752944"/>
        <c:scaling>
          <c:orientation val="minMax"/>
        </c:scaling>
        <c:delete val="0"/>
        <c:axPos val="b"/>
        <c:numFmt formatCode="General" sourceLinked="1"/>
        <c:majorTickMark val="none"/>
        <c:minorTickMark val="none"/>
        <c:tickLblPos val="nextTo"/>
        <c:txPr>
          <a:bodyPr rot="0" vert="horz"/>
          <a:lstStyle/>
          <a:p>
            <a:pPr>
              <a:defRPr sz="800" b="1" i="0" u="none" strike="noStrike" baseline="0">
                <a:solidFill>
                  <a:srgbClr val="000000"/>
                </a:solidFill>
                <a:latin typeface="B Titr"/>
                <a:ea typeface="B Titr"/>
                <a:cs typeface="B Titr"/>
              </a:defRPr>
            </a:pPr>
            <a:endParaRPr lang="en-US"/>
          </a:p>
        </c:txPr>
        <c:crossAx val="228753504"/>
        <c:crosses val="autoZero"/>
        <c:auto val="1"/>
        <c:lblAlgn val="ctr"/>
        <c:lblOffset val="100"/>
        <c:noMultiLvlLbl val="0"/>
      </c:catAx>
      <c:valAx>
        <c:axId val="228753504"/>
        <c:scaling>
          <c:orientation val="minMax"/>
        </c:scaling>
        <c:delete val="0"/>
        <c:axPos val="l"/>
        <c:majorGridlines/>
        <c:numFmt formatCode="[$-3010000]#\.###" sourceLinked="0"/>
        <c:majorTickMark val="none"/>
        <c:minorTickMark val="none"/>
        <c:tickLblPos val="nextTo"/>
        <c:txPr>
          <a:bodyPr rot="0" vert="horz"/>
          <a:lstStyle/>
          <a:p>
            <a:pPr>
              <a:defRPr sz="1200" b="1" i="0" u="none" strike="noStrike" baseline="0">
                <a:solidFill>
                  <a:srgbClr val="000000"/>
                </a:solidFill>
                <a:latin typeface="Calibri"/>
                <a:ea typeface="Calibri"/>
                <a:cs typeface="B Mitra" panose="00000400000000000000" pitchFamily="2" charset="-78"/>
              </a:defRPr>
            </a:pPr>
            <a:endParaRPr lang="en-US"/>
          </a:p>
        </c:txPr>
        <c:crossAx val="228752944"/>
        <c:crosses val="autoZero"/>
        <c:crossBetween val="between"/>
      </c:valAx>
    </c:plotArea>
    <c:legend>
      <c:legendPos val="r"/>
      <c:layout>
        <c:manualLayout>
          <c:xMode val="edge"/>
          <c:yMode val="edge"/>
          <c:x val="0.80281107556100983"/>
          <c:y val="0.34933378008599991"/>
          <c:w val="0.19718892443899019"/>
          <c:h val="0.18412567496166088"/>
        </c:manualLayout>
      </c:layout>
      <c:overlay val="0"/>
      <c:txPr>
        <a:bodyPr/>
        <a:lstStyle/>
        <a:p>
          <a:pPr>
            <a:defRPr sz="900" b="1" i="0" u="none" strike="noStrike" baseline="0">
              <a:solidFill>
                <a:srgbClr val="000000"/>
              </a:solidFill>
              <a:latin typeface="Calibri"/>
              <a:ea typeface="Calibri"/>
              <a:cs typeface="B Titr" panose="00000700000000000000" pitchFamily="2" charset="-78"/>
            </a:defRPr>
          </a:pPr>
          <a:endParaRPr lang="en-US"/>
        </a:p>
      </c:txPr>
    </c:legend>
    <c:plotVisOnly val="1"/>
    <c:dispBlanksAs val="gap"/>
    <c:showDLblsOverMax val="0"/>
  </c:chart>
  <c:spPr>
    <a:ln>
      <a:noFill/>
    </a:ln>
    <a:effectLst>
      <a:softEdge rad="25400"/>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4803149606299635" l="0.7086614173228396" r="0.7086614173228396" t="0.74803149606299635" header="0.31496062992126383" footer="0.31496062992126383"/>
    <c:pageSetup paperSize="9" orientation="landscape"/>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60" b="1" i="0" u="none" strike="noStrike" baseline="0">
                <a:solidFill>
                  <a:srgbClr val="000000"/>
                </a:solidFill>
                <a:latin typeface="B Titr"/>
                <a:ea typeface="B Titr"/>
                <a:cs typeface="B Titr"/>
              </a:defRPr>
            </a:pPr>
            <a:r>
              <a:rPr lang="fa-IR" sz="1400"/>
              <a:t>پارک</a:t>
            </a:r>
            <a:r>
              <a:rPr lang="fa-IR" sz="1400" baseline="0"/>
              <a:t> علم و فناوری استان خراسان</a:t>
            </a:r>
            <a:r>
              <a:rPr lang="fa-IR" sz="1400"/>
              <a:t>
  وضعیت مانده وجوه مصرف نشده سنوات قبل </a:t>
            </a:r>
            <a:r>
              <a:rPr lang="en-US" sz="1400"/>
              <a:t> </a:t>
            </a:r>
            <a:endParaRPr lang="fa-IR" sz="1400"/>
          </a:p>
        </c:rich>
      </c:tx>
      <c:layout>
        <c:manualLayout>
          <c:xMode val="edge"/>
          <c:yMode val="edge"/>
          <c:x val="0.3324262035738732"/>
          <c:y val="0"/>
        </c:manualLayout>
      </c:layout>
      <c:overlay val="0"/>
      <c:spPr>
        <a:noFill/>
        <a:ln w="25400">
          <a:noFill/>
        </a:ln>
      </c:spPr>
    </c:title>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6.4350145227720354E-2"/>
          <c:y val="0.20777044163920771"/>
          <c:w val="0.7194346236459136"/>
          <c:h val="0.68750056705006057"/>
        </c:manualLayout>
      </c:layout>
      <c:bar3DChart>
        <c:barDir val="col"/>
        <c:grouping val="clustered"/>
        <c:varyColors val="0"/>
        <c:ser>
          <c:idx val="0"/>
          <c:order val="0"/>
          <c:tx>
            <c:strRef>
              <c:f>ن4!$A$33</c:f>
              <c:strCache>
                <c:ptCount val="1"/>
                <c:pt idx="0">
                  <c:v>مانده وجوه مصرف نشده سنوات قبل</c:v>
                </c:pt>
              </c:strCache>
            </c:strRef>
          </c:tx>
          <c:invertIfNegative val="0"/>
          <c:dLbls>
            <c:dLbl>
              <c:idx val="0"/>
              <c:layout>
                <c:manualLayout>
                  <c:x val="9.2165898617511521E-3"/>
                  <c:y val="-4.6858359957401494E-2"/>
                </c:manualLayout>
              </c:layout>
              <c:spPr/>
              <c:txPr>
                <a:bodyPr anchorCtr="0"/>
                <a:lstStyle/>
                <a:p>
                  <a:pPr algn="ctr" rtl="0">
                    <a:defRPr lang="fa-IR" sz="1000" b="0" i="0" u="none" strike="noStrike" kern="1200" baseline="0">
                      <a:solidFill>
                        <a:srgbClr val="000000"/>
                      </a:solidFill>
                      <a:latin typeface="B Titr"/>
                      <a:ea typeface="B Titr"/>
                      <a:cs typeface="B Titr"/>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F8-47CA-ADBD-B6BE714168C1}"/>
                </c:ext>
              </c:extLst>
            </c:dLbl>
            <c:spPr>
              <a:noFill/>
              <a:ln>
                <a:noFill/>
              </a:ln>
              <a:effectLst/>
            </c:spPr>
            <c:txPr>
              <a:bodyPr anchorCtr="0"/>
              <a:lstStyle/>
              <a:p>
                <a:pPr algn="ctr">
                  <a:defRPr lang="fa-IR" sz="1000" b="0" i="0" u="none" strike="noStrike" kern="1200"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ن4!$B$35</c:f>
              <c:strCache>
                <c:ptCount val="1"/>
                <c:pt idx="0">
                  <c:v>اعتبارات سرمایه ای</c:v>
                </c:pt>
              </c:strCache>
            </c:strRef>
          </c:cat>
          <c:val>
            <c:numRef>
              <c:f>ن4!$A$35</c:f>
              <c:numCache>
                <c:formatCode>#,##0</c:formatCode>
                <c:ptCount val="1"/>
                <c:pt idx="0">
                  <c:v>36771.925944039998</c:v>
                </c:pt>
              </c:numCache>
            </c:numRef>
          </c:val>
          <c:extLst>
            <c:ext xmlns:c16="http://schemas.microsoft.com/office/drawing/2014/chart" uri="{C3380CC4-5D6E-409C-BE32-E72D297353CC}">
              <c16:uniqueId val="{00000001-BCF8-47CA-ADBD-B6BE714168C1}"/>
            </c:ext>
          </c:extLst>
        </c:ser>
        <c:ser>
          <c:idx val="1"/>
          <c:order val="1"/>
          <c:tx>
            <c:strRef>
              <c:f>ن4!$A$38</c:f>
              <c:strCache>
                <c:ptCount val="1"/>
                <c:pt idx="0">
                  <c:v>هزینه</c:v>
                </c:pt>
              </c:strCache>
            </c:strRef>
          </c:tx>
          <c:invertIfNegative val="0"/>
          <c:dLbls>
            <c:dLbl>
              <c:idx val="0"/>
              <c:layout>
                <c:manualLayout>
                  <c:x val="9.2165898617511521E-3"/>
                  <c:y val="-3.40788072417465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F8-47CA-ADBD-B6BE714168C1}"/>
                </c:ext>
              </c:extLst>
            </c:dLbl>
            <c:spPr>
              <a:noFill/>
              <a:ln>
                <a:noFill/>
              </a:ln>
              <a:effectLst/>
            </c:spPr>
            <c:txPr>
              <a:bodyPr anchorCtr="0"/>
              <a:lstStyle/>
              <a:p>
                <a:pPr algn="ctr">
                  <a:defRPr lang="fa-IR" sz="1000" b="0" i="0" u="none" strike="noStrike" kern="1200"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ن4!$B$35</c:f>
              <c:strCache>
                <c:ptCount val="1"/>
                <c:pt idx="0">
                  <c:v>اعتبارات سرمایه ای</c:v>
                </c:pt>
              </c:strCache>
            </c:strRef>
          </c:cat>
          <c:val>
            <c:numRef>
              <c:f>ن4!$A$40</c:f>
              <c:numCache>
                <c:formatCode>#,##0</c:formatCode>
                <c:ptCount val="1"/>
                <c:pt idx="0">
                  <c:v>34227.061176000003</c:v>
                </c:pt>
              </c:numCache>
            </c:numRef>
          </c:val>
          <c:extLst>
            <c:ext xmlns:c16="http://schemas.microsoft.com/office/drawing/2014/chart" uri="{C3380CC4-5D6E-409C-BE32-E72D297353CC}">
              <c16:uniqueId val="{00000003-BCF8-47CA-ADBD-B6BE714168C1}"/>
            </c:ext>
          </c:extLst>
        </c:ser>
        <c:ser>
          <c:idx val="2"/>
          <c:order val="2"/>
          <c:tx>
            <c:strRef>
              <c:f>ن4!$A$43</c:f>
              <c:strCache>
                <c:ptCount val="1"/>
                <c:pt idx="0">
                  <c:v>پیش پرداخت و علی الحساب</c:v>
                </c:pt>
              </c:strCache>
            </c:strRef>
          </c:tx>
          <c:invertIfNegative val="0"/>
          <c:dLbls>
            <c:dLbl>
              <c:idx val="0"/>
              <c:layout>
                <c:manualLayout>
                  <c:x val="4.608294930875576E-3"/>
                  <c:y val="-4.2598509052183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F8-47CA-ADBD-B6BE714168C1}"/>
                </c:ext>
              </c:extLst>
            </c:dLbl>
            <c:spPr>
              <a:noFill/>
              <a:ln>
                <a:noFill/>
              </a:ln>
              <a:effectLst/>
            </c:spPr>
            <c:txPr>
              <a:bodyPr anchorCtr="0"/>
              <a:lstStyle/>
              <a:p>
                <a:pPr algn="ctr">
                  <a:defRPr lang="fa-IR" sz="1000" b="0" i="0" u="none" strike="noStrike" kern="1200"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ن4!$B$35</c:f>
              <c:strCache>
                <c:ptCount val="1"/>
                <c:pt idx="0">
                  <c:v>اعتبارات سرمایه ای</c:v>
                </c:pt>
              </c:strCache>
            </c:strRef>
          </c:cat>
          <c:val>
            <c:numRef>
              <c:f>ن4!$A$45</c:f>
              <c:numCache>
                <c:formatCode>#,##0</c:formatCode>
                <c:ptCount val="1"/>
                <c:pt idx="0">
                  <c:v>0</c:v>
                </c:pt>
              </c:numCache>
            </c:numRef>
          </c:val>
          <c:extLst>
            <c:ext xmlns:c16="http://schemas.microsoft.com/office/drawing/2014/chart" uri="{C3380CC4-5D6E-409C-BE32-E72D297353CC}">
              <c16:uniqueId val="{00000005-BCF8-47CA-ADBD-B6BE714168C1}"/>
            </c:ext>
          </c:extLst>
        </c:ser>
        <c:ser>
          <c:idx val="3"/>
          <c:order val="3"/>
          <c:tx>
            <c:strRef>
              <c:f>ن4!$A$48</c:f>
              <c:strCache>
                <c:ptCount val="1"/>
                <c:pt idx="0">
                  <c:v>مانده وجوه مصرف نشده پایان سال</c:v>
                </c:pt>
              </c:strCache>
            </c:strRef>
          </c:tx>
          <c:invertIfNegative val="0"/>
          <c:dLbls>
            <c:dLbl>
              <c:idx val="0"/>
              <c:layout>
                <c:manualLayout>
                  <c:x val="9.2165898617511521E-3"/>
                  <c:y val="-4.47284345047927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CF8-47CA-ADBD-B6BE714168C1}"/>
                </c:ext>
              </c:extLst>
            </c:dLbl>
            <c:spPr>
              <a:noFill/>
              <a:ln>
                <a:noFill/>
              </a:ln>
              <a:effectLst/>
            </c:spPr>
            <c:txPr>
              <a:bodyPr anchorCtr="0"/>
              <a:lstStyle/>
              <a:p>
                <a:pPr algn="ctr">
                  <a:defRPr lang="fa-IR" sz="1000" b="0" i="0" u="none" strike="noStrike" kern="1200"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ن4!$B$35</c:f>
              <c:strCache>
                <c:ptCount val="1"/>
                <c:pt idx="0">
                  <c:v>اعتبارات سرمایه ای</c:v>
                </c:pt>
              </c:strCache>
            </c:strRef>
          </c:cat>
          <c:val>
            <c:numRef>
              <c:f>ن4!$A$51</c:f>
              <c:numCache>
                <c:formatCode>#,##0</c:formatCode>
                <c:ptCount val="1"/>
                <c:pt idx="0">
                  <c:v>2544.8647680400009</c:v>
                </c:pt>
              </c:numCache>
            </c:numRef>
          </c:val>
          <c:extLst>
            <c:ext xmlns:c16="http://schemas.microsoft.com/office/drawing/2014/chart" uri="{C3380CC4-5D6E-409C-BE32-E72D297353CC}">
              <c16:uniqueId val="{00000007-BCF8-47CA-ADBD-B6BE714168C1}"/>
            </c:ext>
          </c:extLst>
        </c:ser>
        <c:dLbls>
          <c:showLegendKey val="0"/>
          <c:showVal val="1"/>
          <c:showCatName val="0"/>
          <c:showSerName val="0"/>
          <c:showPercent val="0"/>
          <c:showBubbleSize val="0"/>
        </c:dLbls>
        <c:gapWidth val="150"/>
        <c:shape val="box"/>
        <c:axId val="228159984"/>
        <c:axId val="228160544"/>
        <c:axId val="0"/>
      </c:bar3DChart>
      <c:catAx>
        <c:axId val="228159984"/>
        <c:scaling>
          <c:orientation val="minMax"/>
        </c:scaling>
        <c:delete val="1"/>
        <c:axPos val="b"/>
        <c:numFmt formatCode="General" sourceLinked="0"/>
        <c:majorTickMark val="out"/>
        <c:minorTickMark val="none"/>
        <c:tickLblPos val="none"/>
        <c:crossAx val="228160544"/>
        <c:crosses val="autoZero"/>
        <c:auto val="1"/>
        <c:lblAlgn val="ctr"/>
        <c:lblOffset val="100"/>
        <c:noMultiLvlLbl val="0"/>
      </c:catAx>
      <c:valAx>
        <c:axId val="228160544"/>
        <c:scaling>
          <c:orientation val="minMax"/>
        </c:scaling>
        <c:delete val="0"/>
        <c:axPos val="l"/>
        <c:majorGridlines/>
        <c:numFmt formatCode="[$-3010000]#,###" sourceLinked="0"/>
        <c:majorTickMark val="none"/>
        <c:minorTickMark val="none"/>
        <c:tickLblPos val="nextTo"/>
        <c:txPr>
          <a:bodyPr rot="0" vert="horz"/>
          <a:lstStyle/>
          <a:p>
            <a:pPr>
              <a:defRPr sz="1050" b="1" i="0" u="none" strike="noStrike" baseline="0">
                <a:solidFill>
                  <a:srgbClr val="000000"/>
                </a:solidFill>
                <a:latin typeface="Calibri"/>
                <a:ea typeface="Calibri"/>
                <a:cs typeface="B Mitra" panose="00000400000000000000" pitchFamily="2" charset="-78"/>
              </a:defRPr>
            </a:pPr>
            <a:endParaRPr lang="en-US"/>
          </a:p>
        </c:txPr>
        <c:crossAx val="228159984"/>
        <c:crosses val="autoZero"/>
        <c:crossBetween val="between"/>
      </c:valAx>
      <c:spPr>
        <a:noFill/>
        <a:ln w="25400">
          <a:noFill/>
        </a:ln>
      </c:spPr>
    </c:plotArea>
    <c:legend>
      <c:legendPos val="r"/>
      <c:layout>
        <c:manualLayout>
          <c:xMode val="edge"/>
          <c:yMode val="edge"/>
          <c:x val="0.76684512038734964"/>
          <c:y val="0.36997393449523214"/>
          <c:w val="0.23019439350903159"/>
          <c:h val="0.37772068796754787"/>
        </c:manualLayout>
      </c:layout>
      <c:overlay val="0"/>
      <c:txPr>
        <a:bodyPr/>
        <a:lstStyle/>
        <a:p>
          <a:pPr>
            <a:defRPr sz="1050" b="1" i="0" u="none" strike="noStrike" baseline="0">
              <a:solidFill>
                <a:srgbClr val="000000"/>
              </a:solidFill>
              <a:latin typeface="Calibri"/>
              <a:ea typeface="Calibri"/>
              <a:cs typeface="B Mitra" panose="00000400000000000000" pitchFamily="2" charset="-78"/>
            </a:defRPr>
          </a:pPr>
          <a:endParaRPr lang="en-US"/>
        </a:p>
      </c:txPr>
    </c:legend>
    <c:plotVisOnly val="1"/>
    <c:dispBlanksAs val="gap"/>
    <c:showDLblsOverMax val="0"/>
  </c:chart>
  <c:spPr>
    <a:ln>
      <a:noFill/>
    </a:ln>
  </c:spPr>
  <c:txPr>
    <a:bodyPr/>
    <a:lstStyle/>
    <a:p>
      <a:pPr>
        <a:defRPr sz="1050" b="1" i="0" u="none" strike="noStrike" baseline="0">
          <a:solidFill>
            <a:srgbClr val="000000"/>
          </a:solidFill>
          <a:latin typeface="Calibri"/>
          <a:ea typeface="Calibri"/>
          <a:cs typeface="Calibri"/>
        </a:defRPr>
      </a:pPr>
      <a:endParaRPr lang="en-US"/>
    </a:p>
  </c:txPr>
  <c:printSettings>
    <c:headerFooter>
      <c:oddFooter>&amp;C&amp;"B Titr,Bold"&amp;14 9</c:oddFooter>
    </c:headerFooter>
    <c:pageMargins b="0.7480314960629959" l="0.70866141732283894" r="0.70866141732283894" t="0.7480314960629959" header="0.19685039370078738" footer="0"/>
    <c:pageSetup paperSize="9" orientation="landscape"/>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1">
              <a:defRPr sz="1000" b="0" i="0" u="none" strike="noStrike" kern="1200" baseline="0">
                <a:solidFill>
                  <a:srgbClr val="000000"/>
                </a:solidFill>
                <a:latin typeface="Calibri"/>
                <a:ea typeface="Calibri"/>
                <a:cs typeface="Calibri"/>
              </a:defRPr>
            </a:pPr>
            <a:r>
              <a:rPr lang="fa-IR" sz="1400" b="1" i="0" u="none" strike="noStrike" kern="1200" baseline="0">
                <a:solidFill>
                  <a:srgbClr val="000000"/>
                </a:solidFill>
                <a:effectLst/>
                <a:latin typeface="Calibri"/>
                <a:ea typeface="Calibri"/>
                <a:cs typeface="B Titr" panose="00000700000000000000" pitchFamily="2" charset="-78"/>
              </a:rPr>
              <a:t>پارک علم و فناوری استان خراسان رضوی</a:t>
            </a:r>
            <a:endParaRPr lang="en-US" sz="1400" b="1" i="0" u="none" strike="noStrike" kern="1200" baseline="0">
              <a:solidFill>
                <a:srgbClr val="000000"/>
              </a:solidFill>
              <a:effectLst/>
              <a:latin typeface="Calibri"/>
              <a:ea typeface="Calibri"/>
              <a:cs typeface="B Titr" panose="00000700000000000000" pitchFamily="2" charset="-78"/>
            </a:endParaRPr>
          </a:p>
          <a:p>
            <a:pPr algn="ctr" rtl="1">
              <a:defRPr sz="1000" b="0" i="0" u="none" strike="noStrike" kern="1200" baseline="0">
                <a:solidFill>
                  <a:srgbClr val="000000"/>
                </a:solidFill>
                <a:latin typeface="Calibri"/>
                <a:ea typeface="Calibri"/>
                <a:cs typeface="Calibri"/>
              </a:defRPr>
            </a:pPr>
            <a:r>
              <a:rPr lang="fa-IR" sz="1400" b="1" i="0" u="none" strike="noStrike" baseline="0">
                <a:solidFill>
                  <a:srgbClr val="000000"/>
                </a:solidFill>
                <a:cs typeface="B Titr"/>
              </a:rPr>
              <a:t>     وضعیت اعتبارات ابلاغی سال 1398</a:t>
            </a:r>
            <a:endParaRPr lang="fa-IR" sz="1400" b="1" i="0" u="none" strike="noStrike" baseline="0">
              <a:solidFill>
                <a:srgbClr val="000000"/>
              </a:solidFill>
              <a:cs typeface="B Titr" panose="00000700000000000000" pitchFamily="2" charset="-78"/>
            </a:endParaRPr>
          </a:p>
        </c:rich>
      </c:tx>
      <c:layout>
        <c:manualLayout>
          <c:xMode val="edge"/>
          <c:yMode val="edge"/>
          <c:x val="0.31515525403074618"/>
          <c:y val="1.0796122121687787E-2"/>
        </c:manualLayout>
      </c:layout>
      <c:overlay val="0"/>
      <c:spPr>
        <a:noFill/>
        <a:ln w="25400">
          <a:noFill/>
        </a:ln>
      </c:spPr>
    </c:title>
    <c:autoTitleDeleted val="0"/>
    <c:view3D>
      <c:rotX val="15"/>
      <c:rotY val="20"/>
      <c:depthPercent val="100"/>
      <c:rAngAx val="1"/>
    </c:view3D>
    <c:floor>
      <c:thickness val="0"/>
    </c:floor>
    <c:sideWall>
      <c:thickness val="0"/>
    </c:sideWall>
    <c:backWall>
      <c:thickness val="0"/>
    </c:backWall>
    <c:plotArea>
      <c:layout>
        <c:manualLayout>
          <c:layoutTarget val="inner"/>
          <c:xMode val="edge"/>
          <c:yMode val="edge"/>
          <c:x val="6.8340399914465541E-2"/>
          <c:y val="0.19902944071956041"/>
          <c:w val="0.70153512565257481"/>
          <c:h val="0.69903023081991877"/>
        </c:manualLayout>
      </c:layout>
      <c:bar3DChart>
        <c:barDir val="col"/>
        <c:grouping val="clustered"/>
        <c:varyColors val="0"/>
        <c:ser>
          <c:idx val="0"/>
          <c:order val="0"/>
          <c:tx>
            <c:strRef>
              <c:f>ن5!$A$32</c:f>
              <c:strCache>
                <c:ptCount val="1"/>
                <c:pt idx="0">
                  <c:v>دریافتی از خزانه (نقد و اسناد خزانه)</c:v>
                </c:pt>
              </c:strCache>
            </c:strRef>
          </c:tx>
          <c:spPr>
            <a:solidFill>
              <a:srgbClr val="00B050"/>
            </a:solidFill>
          </c:spPr>
          <c:invertIfNegative val="0"/>
          <c:dLbls>
            <c:dLbl>
              <c:idx val="0"/>
              <c:layout>
                <c:manualLayout>
                  <c:x val="-4.8270502500036673E-3"/>
                  <c:y val="-2.44848092104935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17-498A-B502-0C2FFCC9E5F0}"/>
                </c:ext>
              </c:extLst>
            </c:dLbl>
            <c:dLbl>
              <c:idx val="1"/>
              <c:layout>
                <c:manualLayout>
                  <c:x val="4.4839367146146444E-3"/>
                  <c:y val="-8.718157915014778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17-498A-B502-0C2FFCC9E5F0}"/>
                </c:ext>
              </c:extLst>
            </c:dLbl>
            <c:spPr>
              <a:noFill/>
              <a:ln w="25400">
                <a:noFill/>
              </a:ln>
            </c:spPr>
            <c:txPr>
              <a:bodyPr rot="-5400000" vert="horz"/>
              <a:lstStyle/>
              <a:p>
                <a:pPr algn="ctr">
                  <a:defRPr sz="1000" b="0" i="0" u="none" strike="noStrike"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ن5!$D$33:$D$34</c15:sqref>
                  </c15:fullRef>
                </c:ext>
              </c:extLst>
              <c:f>ن5!$D$33:$D$34</c:f>
              <c:strCache>
                <c:ptCount val="2"/>
                <c:pt idx="0">
                  <c:v>اعتبارات ابلاغی  هزینه ای </c:v>
                </c:pt>
                <c:pt idx="1">
                  <c:v>اعتبارات ابلاغی تملک دارایی های سرمایه ای</c:v>
                </c:pt>
              </c:strCache>
            </c:strRef>
          </c:cat>
          <c:val>
            <c:numRef>
              <c:extLst>
                <c:ext xmlns:c15="http://schemas.microsoft.com/office/drawing/2012/chart" uri="{02D57815-91ED-43cb-92C2-25804820EDAC}">
                  <c15:fullRef>
                    <c15:sqref>ن5!$A$33:$A$35</c15:sqref>
                  </c15:fullRef>
                </c:ext>
              </c:extLst>
              <c:f>ن5!$A$33:$A$34</c:f>
              <c:numCache>
                <c:formatCode>#,##0</c:formatCode>
                <c:ptCount val="2"/>
                <c:pt idx="0">
                  <c:v>40314.286</c:v>
                </c:pt>
                <c:pt idx="1">
                  <c:v>12600</c:v>
                </c:pt>
              </c:numCache>
            </c:numRef>
          </c:val>
          <c:extLst>
            <c:ext xmlns:c15="http://schemas.microsoft.com/office/drawing/2012/chart" uri="{02D57815-91ED-43cb-92C2-25804820EDAC}">
              <c15:categoryFilterExceptions>
                <c15:categoryFilterException>
                  <c15:sqref>ن5!$A$35</c15:sqref>
                  <c15:dLbl>
                    <c:idx val="1"/>
                    <c:layout>
                      <c:manualLayout>
                        <c:x val="2.6217393216909656E-3"/>
                        <c:y val="-1.7946190774232491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4FB5-4DAC-9CDC-5739E93B2B6E}"/>
                      </c:ext>
                    </c:extLst>
                  </c15:dLbl>
                </c15:categoryFilterException>
              </c15:categoryFilterExceptions>
            </c:ext>
            <c:ext xmlns:c16="http://schemas.microsoft.com/office/drawing/2014/chart" uri="{C3380CC4-5D6E-409C-BE32-E72D297353CC}">
              <c16:uniqueId val="{00000002-FA17-498A-B502-0C2FFCC9E5F0}"/>
            </c:ext>
          </c:extLst>
        </c:ser>
        <c:ser>
          <c:idx val="3"/>
          <c:order val="1"/>
          <c:tx>
            <c:strRef>
              <c:f>ن5!$A$36</c:f>
              <c:strCache>
                <c:ptCount val="1"/>
                <c:pt idx="0">
                  <c:v>هزینه</c:v>
                </c:pt>
              </c:strCache>
            </c:strRef>
          </c:tx>
          <c:invertIfNegative val="0"/>
          <c:dLbls>
            <c:dLbl>
              <c:idx val="0"/>
              <c:layout>
                <c:manualLayout>
                  <c:x val="2.0484171322160211E-2"/>
                  <c:y val="-1.52567763512758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17-498A-B502-0C2FFCC9E5F0}"/>
                </c:ext>
              </c:extLst>
            </c:dLbl>
            <c:dLbl>
              <c:idx val="1"/>
              <c:layout>
                <c:manualLayout>
                  <c:x val="3.6930176643286849E-2"/>
                  <c:y val="-2.31244223032651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A17-498A-B502-0C2FFCC9E5F0}"/>
                </c:ext>
              </c:extLst>
            </c:dLbl>
            <c:spPr>
              <a:noFill/>
              <a:ln>
                <a:noFill/>
              </a:ln>
              <a:effectLst/>
            </c:spPr>
            <c:txPr>
              <a:bodyPr rot="-5400000" vert="horz" anchorCtr="0"/>
              <a:lstStyle/>
              <a:p>
                <a:pPr algn="ctr">
                  <a:defRPr lang="fa-IR" sz="1000" b="0" i="0" u="none" strike="noStrike" kern="1200"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ن5!$D$33:$D$34</c15:sqref>
                  </c15:fullRef>
                </c:ext>
              </c:extLst>
              <c:f>ن5!$D$33:$D$34</c:f>
              <c:strCache>
                <c:ptCount val="2"/>
                <c:pt idx="0">
                  <c:v>اعتبارات ابلاغی  هزینه ای </c:v>
                </c:pt>
                <c:pt idx="1">
                  <c:v>اعتبارات ابلاغی تملک دارایی های سرمایه ای</c:v>
                </c:pt>
              </c:strCache>
            </c:strRef>
          </c:cat>
          <c:val>
            <c:numRef>
              <c:extLst>
                <c:ext xmlns:c15="http://schemas.microsoft.com/office/drawing/2012/chart" uri="{02D57815-91ED-43cb-92C2-25804820EDAC}">
                  <c15:fullRef>
                    <c15:sqref>ن5!$A$37:$A$39</c15:sqref>
                  </c15:fullRef>
                </c:ext>
              </c:extLst>
              <c:f>ن5!$A$37:$A$38</c:f>
              <c:numCache>
                <c:formatCode>#,##0</c:formatCode>
                <c:ptCount val="2"/>
                <c:pt idx="0">
                  <c:v>18172.852695000001</c:v>
                </c:pt>
                <c:pt idx="1">
                  <c:v>0</c:v>
                </c:pt>
              </c:numCache>
            </c:numRef>
          </c:val>
          <c:extLst>
            <c:ext xmlns:c16="http://schemas.microsoft.com/office/drawing/2014/chart" uri="{C3380CC4-5D6E-409C-BE32-E72D297353CC}">
              <c16:uniqueId val="{00000005-FA17-498A-B502-0C2FFCC9E5F0}"/>
            </c:ext>
          </c:extLst>
        </c:ser>
        <c:ser>
          <c:idx val="1"/>
          <c:order val="2"/>
          <c:tx>
            <c:strRef>
              <c:f>ن5!$A$40</c:f>
              <c:strCache>
                <c:ptCount val="1"/>
                <c:pt idx="0">
                  <c:v>پیش پرداخت و علی الحساب</c:v>
                </c:pt>
              </c:strCache>
            </c:strRef>
          </c:tx>
          <c:spPr>
            <a:solidFill>
              <a:schemeClr val="bg1">
                <a:lumMod val="95000"/>
              </a:schemeClr>
            </a:solidFill>
          </c:spPr>
          <c:invertIfNegative val="0"/>
          <c:dLbls>
            <c:dLbl>
              <c:idx val="0"/>
              <c:layout>
                <c:manualLayout>
                  <c:x val="1.1954280854557985E-2"/>
                  <c:y val="-5.28188224342918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17-498A-B502-0C2FFCC9E5F0}"/>
                </c:ext>
              </c:extLst>
            </c:dLbl>
            <c:dLbl>
              <c:idx val="1"/>
              <c:layout>
                <c:manualLayout>
                  <c:x val="8.3238905481643546E-3"/>
                  <c:y val="-3.22083686497066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17-498A-B502-0C2FFCC9E5F0}"/>
                </c:ext>
              </c:extLst>
            </c:dLbl>
            <c:spPr>
              <a:noFill/>
              <a:ln w="25400">
                <a:noFill/>
              </a:ln>
            </c:spPr>
            <c:txPr>
              <a:bodyPr rot="-5400000" vert="horz"/>
              <a:lstStyle/>
              <a:p>
                <a:pPr algn="ctr">
                  <a:defRPr sz="1000" b="0" i="0" u="none" strike="noStrike"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ن5!$D$33:$D$34</c15:sqref>
                  </c15:fullRef>
                </c:ext>
              </c:extLst>
              <c:f>ن5!$D$33:$D$34</c:f>
              <c:strCache>
                <c:ptCount val="2"/>
                <c:pt idx="0">
                  <c:v>اعتبارات ابلاغی  هزینه ای </c:v>
                </c:pt>
                <c:pt idx="1">
                  <c:v>اعتبارات ابلاغی تملک دارایی های سرمایه ای</c:v>
                </c:pt>
              </c:strCache>
            </c:strRef>
          </c:cat>
          <c:val>
            <c:numRef>
              <c:extLst>
                <c:ext xmlns:c15="http://schemas.microsoft.com/office/drawing/2012/chart" uri="{02D57815-91ED-43cb-92C2-25804820EDAC}">
                  <c15:fullRef>
                    <c15:sqref>ن5!$A$41:$A$43</c15:sqref>
                  </c15:fullRef>
                </c:ext>
              </c:extLst>
              <c:f>ن5!$A$41:$A$42</c:f>
              <c:numCache>
                <c:formatCode>#,##0</c:formatCode>
                <c:ptCount val="2"/>
                <c:pt idx="0">
                  <c:v>0</c:v>
                </c:pt>
                <c:pt idx="1">
                  <c:v>0</c:v>
                </c:pt>
              </c:numCache>
            </c:numRef>
          </c:val>
          <c:extLst>
            <c:ext xmlns:c15="http://schemas.microsoft.com/office/drawing/2012/chart" uri="{02D57815-91ED-43cb-92C2-25804820EDAC}">
              <c15:categoryFilterExceptions>
                <c15:categoryFilterException>
                  <c15:sqref>ن5!$A$43</c15:sqref>
                  <c15:dLbl>
                    <c:idx val="1"/>
                    <c:layout>
                      <c:manualLayout>
                        <c:x val="1.3642868663763574E-2"/>
                        <c:y val="-1.6926440885826625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1-4FB5-4DAC-9CDC-5739E93B2B6E}"/>
                      </c:ext>
                    </c:extLst>
                  </c15:dLbl>
                </c15:categoryFilterException>
              </c15:categoryFilterExceptions>
            </c:ext>
            <c:ext xmlns:c16="http://schemas.microsoft.com/office/drawing/2014/chart" uri="{C3380CC4-5D6E-409C-BE32-E72D297353CC}">
              <c16:uniqueId val="{00000008-FA17-498A-B502-0C2FFCC9E5F0}"/>
            </c:ext>
          </c:extLst>
        </c:ser>
        <c:ser>
          <c:idx val="2"/>
          <c:order val="3"/>
          <c:tx>
            <c:strRef>
              <c:f>ن5!$A$44</c:f>
              <c:strCache>
                <c:ptCount val="1"/>
                <c:pt idx="0">
                  <c:v>مانده وجوه مصرف نشده پایان سال</c:v>
                </c:pt>
              </c:strCache>
            </c:strRef>
          </c:tx>
          <c:spPr>
            <a:solidFill>
              <a:srgbClr val="FF0000"/>
            </a:solidFill>
          </c:spPr>
          <c:invertIfNegative val="0"/>
          <c:dLbls>
            <c:dLbl>
              <c:idx val="0"/>
              <c:layout>
                <c:manualLayout>
                  <c:x val="1.0070528893385647E-2"/>
                  <c:y val="-3.5892381548465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17-498A-B502-0C2FFCC9E5F0}"/>
                </c:ext>
              </c:extLst>
            </c:dLbl>
            <c:dLbl>
              <c:idx val="1"/>
              <c:layout>
                <c:manualLayout>
                  <c:x val="8.0563947633434246E-3"/>
                  <c:y val="-5.378846563531273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A17-498A-B502-0C2FFCC9E5F0}"/>
                </c:ext>
              </c:extLst>
            </c:dLbl>
            <c:spPr>
              <a:noFill/>
              <a:ln w="25400">
                <a:noFill/>
              </a:ln>
            </c:spPr>
            <c:txPr>
              <a:bodyPr rot="-5400000" vert="horz"/>
              <a:lstStyle/>
              <a:p>
                <a:pPr algn="ctr">
                  <a:defRPr sz="1000" b="0" i="0" u="none" strike="noStrike" baseline="0">
                    <a:solidFill>
                      <a:srgbClr val="000000"/>
                    </a:solidFill>
                    <a:latin typeface="B Titr"/>
                    <a:ea typeface="B Titr"/>
                    <a:cs typeface="B Tit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ن5!$D$33:$D$34</c15:sqref>
                  </c15:fullRef>
                </c:ext>
              </c:extLst>
              <c:f>ن5!$D$33:$D$34</c:f>
              <c:strCache>
                <c:ptCount val="2"/>
                <c:pt idx="0">
                  <c:v>اعتبارات ابلاغی  هزینه ای </c:v>
                </c:pt>
                <c:pt idx="1">
                  <c:v>اعتبارات ابلاغی تملک دارایی های سرمایه ای</c:v>
                </c:pt>
              </c:strCache>
            </c:strRef>
          </c:cat>
          <c:val>
            <c:numRef>
              <c:extLst>
                <c:ext xmlns:c15="http://schemas.microsoft.com/office/drawing/2012/chart" uri="{02D57815-91ED-43cb-92C2-25804820EDAC}">
                  <c15:fullRef>
                    <c15:sqref>ن5!$A$45:$A$47</c15:sqref>
                  </c15:fullRef>
                </c:ext>
              </c:extLst>
              <c:f>ن5!$A$45:$A$46</c:f>
              <c:numCache>
                <c:formatCode>#,##0</c:formatCode>
                <c:ptCount val="2"/>
                <c:pt idx="0">
                  <c:v>22141.433304999999</c:v>
                </c:pt>
                <c:pt idx="1">
                  <c:v>12600</c:v>
                </c:pt>
              </c:numCache>
            </c:numRef>
          </c:val>
          <c:extLst>
            <c:ext xmlns:c15="http://schemas.microsoft.com/office/drawing/2012/chart" uri="{02D57815-91ED-43cb-92C2-25804820EDAC}">
              <c15:categoryFilterExceptions>
                <c15:categoryFilterException>
                  <c15:sqref>ن5!$A$47</c15:sqref>
                  <c15:dLbl>
                    <c:idx val="1"/>
                    <c:layout>
                      <c:manualLayout>
                        <c:x val="5.8904089502778631E-3"/>
                        <c:y val="-2.230526973173988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2-4FB5-4DAC-9CDC-5739E93B2B6E}"/>
                      </c:ext>
                    </c:extLst>
                  </c15:dLbl>
                </c15:categoryFilterException>
              </c15:categoryFilterExceptions>
            </c:ext>
            <c:ext xmlns:c16="http://schemas.microsoft.com/office/drawing/2014/chart" uri="{C3380CC4-5D6E-409C-BE32-E72D297353CC}">
              <c16:uniqueId val="{0000000B-FA17-498A-B502-0C2FFCC9E5F0}"/>
            </c:ext>
          </c:extLst>
        </c:ser>
        <c:dLbls>
          <c:showLegendKey val="0"/>
          <c:showVal val="0"/>
          <c:showCatName val="0"/>
          <c:showSerName val="0"/>
          <c:showPercent val="0"/>
          <c:showBubbleSize val="0"/>
        </c:dLbls>
        <c:gapWidth val="150"/>
        <c:shape val="box"/>
        <c:axId val="228165024"/>
        <c:axId val="228165584"/>
        <c:axId val="0"/>
      </c:bar3DChart>
      <c:catAx>
        <c:axId val="228165024"/>
        <c:scaling>
          <c:orientation val="minMax"/>
        </c:scaling>
        <c:delete val="0"/>
        <c:axPos val="b"/>
        <c:numFmt formatCode="General" sourceLinked="1"/>
        <c:majorTickMark val="none"/>
        <c:minorTickMark val="none"/>
        <c:tickLblPos val="nextTo"/>
        <c:txPr>
          <a:bodyPr rot="0" vert="horz"/>
          <a:lstStyle/>
          <a:p>
            <a:pPr>
              <a:defRPr sz="800" b="1" i="0" u="none" strike="noStrike" baseline="0">
                <a:solidFill>
                  <a:srgbClr val="000000"/>
                </a:solidFill>
                <a:latin typeface="B Titr"/>
                <a:ea typeface="B Titr"/>
                <a:cs typeface="B Titr"/>
              </a:defRPr>
            </a:pPr>
            <a:endParaRPr lang="en-US"/>
          </a:p>
        </c:txPr>
        <c:crossAx val="228165584"/>
        <c:crosses val="autoZero"/>
        <c:auto val="1"/>
        <c:lblAlgn val="ctr"/>
        <c:lblOffset val="100"/>
        <c:noMultiLvlLbl val="0"/>
      </c:catAx>
      <c:valAx>
        <c:axId val="228165584"/>
        <c:scaling>
          <c:orientation val="minMax"/>
        </c:scaling>
        <c:delete val="0"/>
        <c:axPos val="l"/>
        <c:majorGridlines/>
        <c:numFmt formatCode="[$-3010000]#,###" sourceLinked="0"/>
        <c:majorTickMark val="none"/>
        <c:minorTickMark val="none"/>
        <c:tickLblPos val="nextTo"/>
        <c:txPr>
          <a:bodyPr rot="0" vert="horz"/>
          <a:lstStyle/>
          <a:p>
            <a:pPr>
              <a:defRPr sz="900" b="1" i="0" u="none" strike="noStrike" baseline="0">
                <a:solidFill>
                  <a:srgbClr val="000000"/>
                </a:solidFill>
                <a:latin typeface="Calibri"/>
                <a:ea typeface="Calibri"/>
                <a:cs typeface="B Titr" panose="00000700000000000000" pitchFamily="2" charset="-78"/>
              </a:defRPr>
            </a:pPr>
            <a:endParaRPr lang="en-US"/>
          </a:p>
        </c:txPr>
        <c:crossAx val="228165024"/>
        <c:crosses val="autoZero"/>
        <c:crossBetween val="between"/>
      </c:valAx>
      <c:spPr>
        <a:noFill/>
        <a:ln w="25400">
          <a:noFill/>
        </a:ln>
      </c:spPr>
    </c:plotArea>
    <c:legend>
      <c:legendPos val="r"/>
      <c:layout>
        <c:manualLayout>
          <c:xMode val="edge"/>
          <c:yMode val="edge"/>
          <c:x val="0.76093445350581956"/>
          <c:y val="0.40892113526725699"/>
          <c:w val="0.2247346711514451"/>
          <c:h val="0.31456628477905074"/>
        </c:manualLayout>
      </c:layout>
      <c:overlay val="0"/>
      <c:txPr>
        <a:bodyPr/>
        <a:lstStyle/>
        <a:p>
          <a:pPr>
            <a:defRPr sz="1000" b="1" i="0" u="none" strike="noStrike" baseline="0">
              <a:solidFill>
                <a:srgbClr val="000000"/>
              </a:solidFill>
              <a:latin typeface="Calibri"/>
              <a:ea typeface="Calibri"/>
              <a:cs typeface="B Titr" panose="00000700000000000000" pitchFamily="2" charset="-78"/>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4803149606299668" l="0.70866141732283983" r="0.70866141732283983" t="0.74803149606299668" header="0.31496062992126406" footer="0.31496062992126406"/>
    <c:pageSetup paperSize="9"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438</xdr:row>
      <xdr:rowOff>326570</xdr:rowOff>
    </xdr:from>
    <xdr:to>
      <xdr:col>7</xdr:col>
      <xdr:colOff>1378716</xdr:colOff>
      <xdr:row>447</xdr:row>
      <xdr:rowOff>108856</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14712269784" y="149161499"/>
          <a:ext cx="9379716" cy="29663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7</xdr:row>
      <xdr:rowOff>317500</xdr:rowOff>
    </xdr:from>
    <xdr:to>
      <xdr:col>5</xdr:col>
      <xdr:colOff>1143001</xdr:colOff>
      <xdr:row>16</xdr:row>
      <xdr:rowOff>15876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9879679249" y="3111500"/>
          <a:ext cx="8461375" cy="29368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161365</xdr:colOff>
      <xdr:row>2</xdr:row>
      <xdr:rowOff>61633</xdr:rowOff>
    </xdr:from>
    <xdr:to>
      <xdr:col>7</xdr:col>
      <xdr:colOff>1299883</xdr:colOff>
      <xdr:row>27</xdr:row>
      <xdr:rowOff>23533</xdr:rowOff>
    </xdr:to>
    <xdr:graphicFrame macro="">
      <xdr:nvGraphicFramePr>
        <xdr:cNvPr id="2" name="Chart 7">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0.01147</cdr:x>
      <cdr:y>0.13599</cdr:y>
    </cdr:from>
    <cdr:to>
      <cdr:x>0.129</cdr:x>
      <cdr:y>0.18316</cdr:y>
    </cdr:to>
    <cdr:pic>
      <cdr:nvPicPr>
        <cdr:cNvPr id="2" name="chart">
          <a:extLst xmlns:a="http://schemas.openxmlformats.org/drawingml/2006/main">
            <a:ext uri="{FF2B5EF4-FFF2-40B4-BE49-F238E27FC236}">
              <a16:creationId xmlns:a16="http://schemas.microsoft.com/office/drawing/2014/main" id="{070B62AD-6307-406D-BAA8-C3BC73F955B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95623" y="756771"/>
          <a:ext cx="980107" cy="2625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104775</xdr:colOff>
      <xdr:row>0</xdr:row>
      <xdr:rowOff>142875</xdr:rowOff>
    </xdr:from>
    <xdr:to>
      <xdr:col>14</xdr:col>
      <xdr:colOff>476250</xdr:colOff>
      <xdr:row>25</xdr:row>
      <xdr:rowOff>104775</xdr:rowOff>
    </xdr:to>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1"/>
        <cdr:cNvSpPr txBox="1"/>
      </cdr:nvSpPr>
      <cdr:spPr>
        <a:xfrm xmlns:a="http://schemas.openxmlformats.org/drawingml/2006/main">
          <a:off x="85724" y="0"/>
          <a:ext cx="1049617" cy="33618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0.0227</cdr:x>
      <cdr:y>0.08389</cdr:y>
    </cdr:from>
    <cdr:to>
      <cdr:x>0.129</cdr:x>
      <cdr:y>0.13013</cdr:y>
    </cdr:to>
    <cdr:pic>
      <cdr:nvPicPr>
        <cdr:cNvPr id="3" name="chart">
          <a:extLst xmlns:a="http://schemas.openxmlformats.org/drawingml/2006/main">
            <a:ext uri="{FF2B5EF4-FFF2-40B4-BE49-F238E27FC236}">
              <a16:creationId xmlns:a16="http://schemas.microsoft.com/office/drawing/2014/main" id="{6803B1C8-54C0-4A0D-BF6D-87CCFAAABE4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209515" y="476249"/>
          <a:ext cx="981120" cy="26248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133350</xdr:colOff>
      <xdr:row>0</xdr:row>
      <xdr:rowOff>85725</xdr:rowOff>
    </xdr:from>
    <xdr:to>
      <xdr:col>12</xdr:col>
      <xdr:colOff>561975</xdr:colOff>
      <xdr:row>31</xdr:row>
      <xdr:rowOff>104775</xdr:rowOff>
    </xdr:to>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0.11212</cdr:x>
      <cdr:y>0.14894</cdr:y>
    </cdr:from>
    <cdr:to>
      <cdr:x>0.26172</cdr:x>
      <cdr:y>0.19775</cdr:y>
    </cdr:to>
    <cdr:sp macro="" textlink="">
      <cdr:nvSpPr>
        <cdr:cNvPr id="2" name="TextBox 1"/>
        <cdr:cNvSpPr txBox="1"/>
      </cdr:nvSpPr>
      <cdr:spPr>
        <a:xfrm xmlns:a="http://schemas.openxmlformats.org/drawingml/2006/main">
          <a:off x="942974" y="882402"/>
          <a:ext cx="1258241" cy="289173"/>
        </a:xfrm>
        <a:prstGeom xmlns:a="http://schemas.openxmlformats.org/drawingml/2006/main" prst="rect">
          <a:avLst/>
        </a:prstGeom>
      </cdr:spPr>
      <cdr:txBody>
        <a:bodyPr xmlns:a="http://schemas.openxmlformats.org/drawingml/2006/main" wrap="square" rtlCol="0" anchor="ctr"/>
        <a:lstStyle xmlns:a="http://schemas.openxmlformats.org/drawingml/2006/main"/>
        <a:p xmlns:a="http://schemas.openxmlformats.org/drawingml/2006/main">
          <a:pPr algn="ctr"/>
          <a:r>
            <a:rPr lang="fa-IR" sz="1000" b="1">
              <a:cs typeface="B Titr" pitchFamily="2" charset="-78"/>
            </a:rPr>
            <a:t>ارقام</a:t>
          </a:r>
          <a:r>
            <a:rPr lang="fa-IR" sz="1000" b="1" baseline="0">
              <a:cs typeface="B Titr" pitchFamily="2" charset="-78"/>
            </a:rPr>
            <a:t> به میلیون ریال</a:t>
          </a:r>
          <a:endParaRPr lang="en-US" sz="1000" b="1">
            <a:cs typeface="B Titr" pitchFamily="2" charset="-78"/>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142875</xdr:colOff>
      <xdr:row>0</xdr:row>
      <xdr:rowOff>66675</xdr:rowOff>
    </xdr:from>
    <xdr:to>
      <xdr:col>13</xdr:col>
      <xdr:colOff>0</xdr:colOff>
      <xdr:row>29</xdr:row>
      <xdr:rowOff>142875</xdr:rowOff>
    </xdr:to>
    <xdr:graphicFrame macro="">
      <xdr:nvGraphicFramePr>
        <xdr:cNvPr id="2" name="Chart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pic>
      <cdr:nvPicPr>
        <cdr:cNvPr id="3" name="chart">
          <a:extLst xmlns:a="http://schemas.openxmlformats.org/drawingml/2006/main">
            <a:ext uri="{FF2B5EF4-FFF2-40B4-BE49-F238E27FC236}">
              <a16:creationId xmlns:a16="http://schemas.microsoft.com/office/drawing/2014/main" id="{D6F2B446-ABDF-4C89-B28E-CFC5A95551D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0.05375</cdr:x>
      <cdr:y>0.10028</cdr:y>
    </cdr:from>
    <cdr:to>
      <cdr:x>0.19337</cdr:x>
      <cdr:y>0.15738</cdr:y>
    </cdr:to>
    <cdr:pic>
      <cdr:nvPicPr>
        <cdr:cNvPr id="4" name="chart">
          <a:extLst xmlns:a="http://schemas.openxmlformats.org/drawingml/2006/main">
            <a:ext uri="{FF2B5EF4-FFF2-40B4-BE49-F238E27FC236}">
              <a16:creationId xmlns:a16="http://schemas.microsoft.com/office/drawing/2014/main" id="{135325D4-3AE7-4DF1-99C1-CB01498CEDA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a:off x="460772" y="685800"/>
          <a:ext cx="1196892" cy="390526"/>
        </a:xfrm>
        <a:prstGeom xmlns:a="http://schemas.openxmlformats.org/drawingml/2006/main" prst="rect">
          <a:avLst/>
        </a:prstGeom>
      </cdr:spPr>
    </cdr:pic>
  </cdr:relSizeAnchor>
</c:userShapes>
</file>

<file path=xl/drawings/drawing11.xml><?xml version="1.0" encoding="utf-8"?>
<xdr:wsDr xmlns:xdr="http://schemas.openxmlformats.org/drawingml/2006/spreadsheetDrawing" xmlns:a="http://schemas.openxmlformats.org/drawingml/2006/main">
  <xdr:twoCellAnchor>
    <xdr:from>
      <xdr:col>0</xdr:col>
      <xdr:colOff>9525</xdr:colOff>
      <xdr:row>0</xdr:row>
      <xdr:rowOff>38100</xdr:rowOff>
    </xdr:from>
    <xdr:to>
      <xdr:col>10</xdr:col>
      <xdr:colOff>892969</xdr:colOff>
      <xdr:row>26</xdr:row>
      <xdr:rowOff>95250</xdr:rowOff>
    </xdr:to>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0.04141</cdr:x>
      <cdr:y>0.047</cdr:y>
    </cdr:from>
    <cdr:to>
      <cdr:x>0.14844</cdr:x>
      <cdr:y>0.11021</cdr:y>
    </cdr:to>
    <cdr:pic>
      <cdr:nvPicPr>
        <cdr:cNvPr id="3" name="chart">
          <a:extLst xmlns:a="http://schemas.openxmlformats.org/drawingml/2006/main">
            <a:ext uri="{FF2B5EF4-FFF2-40B4-BE49-F238E27FC236}">
              <a16:creationId xmlns:a16="http://schemas.microsoft.com/office/drawing/2014/main" id="{74E75036-4912-4C85-A8C5-33910CA46A1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53410" y="276225"/>
          <a:ext cx="913415" cy="371476"/>
        </a:xfrm>
        <a:prstGeom xmlns:a="http://schemas.openxmlformats.org/drawingml/2006/main" prst="rect">
          <a:avLst/>
        </a:prstGeom>
      </cdr:spPr>
    </cdr:pic>
  </cdr:relSizeAnchor>
</c:userShapes>
</file>

<file path=xl/drawings/drawing13.xml><?xml version="1.0" encoding="utf-8"?>
<xdr:wsDr xmlns:xdr="http://schemas.openxmlformats.org/drawingml/2006/spreadsheetDrawing" xmlns:a="http://schemas.openxmlformats.org/drawingml/2006/main">
  <xdr:twoCellAnchor>
    <xdr:from>
      <xdr:col>0</xdr:col>
      <xdr:colOff>228600</xdr:colOff>
      <xdr:row>0</xdr:row>
      <xdr:rowOff>104775</xdr:rowOff>
    </xdr:from>
    <xdr:to>
      <xdr:col>9</xdr:col>
      <xdr:colOff>600075</xdr:colOff>
      <xdr:row>27</xdr:row>
      <xdr:rowOff>28575</xdr:rowOff>
    </xdr:to>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4"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6"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8"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1"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3"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5"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7"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9"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21"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23"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25"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27"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29"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31"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33"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35"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37"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39"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41"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43"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45"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47"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49"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51"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53"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55"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57"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59"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61"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63"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65"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0.64434</cdr:x>
      <cdr:y>0.4488</cdr:y>
    </cdr:from>
    <cdr:to>
      <cdr:x>0.7548</cdr:x>
      <cdr:y>0.49413</cdr:y>
    </cdr:to>
    <cdr:sp macro="" textlink="">
      <cdr:nvSpPr>
        <cdr:cNvPr id="68" name="TextBox 67"/>
        <cdr:cNvSpPr txBox="1"/>
      </cdr:nvSpPr>
      <cdr:spPr>
        <a:xfrm xmlns:a="http://schemas.openxmlformats.org/drawingml/2006/main">
          <a:off x="5343525" y="2400300"/>
          <a:ext cx="914400" cy="295275"/>
        </a:xfrm>
        <a:prstGeom xmlns:a="http://schemas.openxmlformats.org/drawingml/2006/main" prst="rect">
          <a:avLst/>
        </a:prstGeom>
      </cdr:spPr>
      <cdr:txBody>
        <a:bodyPr xmlns:a="http://schemas.openxmlformats.org/drawingml/2006/main" vertOverflow="clip" wrap="none" rtlCol="1"/>
        <a:lstStyle xmlns:a="http://schemas.openxmlformats.org/drawingml/2006/main"/>
        <a:p xmlns:a="http://schemas.openxmlformats.org/drawingml/2006/main">
          <a:endParaRPr lang="en-US"/>
        </a:p>
      </cdr:txBody>
    </cdr:sp>
  </cdr:relSizeAnchor>
  <cdr:relSizeAnchor xmlns:cdr="http://schemas.openxmlformats.org/drawingml/2006/chartDrawing">
    <cdr:from>
      <cdr:x>0</cdr:x>
      <cdr:y>0</cdr:y>
    </cdr:from>
    <cdr:to>
      <cdr:x>0</cdr:x>
      <cdr:y>0</cdr:y>
    </cdr:to>
    <cdr:sp macro="" textlink="">
      <cdr:nvSpPr>
        <cdr:cNvPr id="70"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72"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74"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76"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78"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80"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82"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84"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86"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88"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90"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92"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94"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96"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98"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00"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02"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04"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06"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08"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10"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12"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14"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16"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18"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20"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22"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24"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26"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28"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30"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cdr:x>
      <cdr:y>0</cdr:y>
    </cdr:from>
    <cdr:to>
      <cdr:x>0</cdr:x>
      <cdr:y>0</cdr:y>
    </cdr:to>
    <cdr:sp macro="" textlink="">
      <cdr:nvSpPr>
        <cdr:cNvPr id="132"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0.64434</cdr:x>
      <cdr:y>0.4488</cdr:y>
    </cdr:from>
    <cdr:to>
      <cdr:x>0.7548</cdr:x>
      <cdr:y>0.49413</cdr:y>
    </cdr:to>
    <cdr:sp macro="" textlink="">
      <cdr:nvSpPr>
        <cdr:cNvPr id="134" name="TextBox 67"/>
        <cdr:cNvSpPr txBox="1"/>
      </cdr:nvSpPr>
      <cdr:spPr>
        <a:xfrm xmlns:a="http://schemas.openxmlformats.org/drawingml/2006/main">
          <a:off x="5343525" y="2400300"/>
          <a:ext cx="914400" cy="295275"/>
        </a:xfrm>
        <a:prstGeom xmlns:a="http://schemas.openxmlformats.org/drawingml/2006/main" prst="rect">
          <a:avLst/>
        </a:prstGeom>
      </cdr:spPr>
      <cdr:txBody>
        <a:bodyPr xmlns:a="http://schemas.openxmlformats.org/drawingml/2006/main" vertOverflow="clip" wrap="none" rtlCol="1"/>
        <a:lstStyle xmlns:a="http://schemas.openxmlformats.org/drawingml/2006/main"/>
        <a:p xmlns:a="http://schemas.openxmlformats.org/drawingml/2006/main">
          <a:endParaRPr lang="en-US"/>
        </a:p>
      </cdr:txBody>
    </cdr:sp>
  </cdr:relSizeAnchor>
  <cdr:relSizeAnchor xmlns:cdr="http://schemas.openxmlformats.org/drawingml/2006/chartDrawing">
    <cdr:from>
      <cdr:x>0.39036</cdr:x>
      <cdr:y>0.47373</cdr:y>
    </cdr:from>
    <cdr:to>
      <cdr:x>0.45605</cdr:x>
      <cdr:y>0.52497</cdr:y>
    </cdr:to>
    <cdr:sp macro="" textlink="">
      <cdr:nvSpPr>
        <cdr:cNvPr id="135" name="TextBox 134"/>
        <cdr:cNvSpPr txBox="1"/>
      </cdr:nvSpPr>
      <cdr:spPr>
        <a:xfrm xmlns:a="http://schemas.openxmlformats.org/drawingml/2006/main">
          <a:off x="3238500" y="2562225"/>
          <a:ext cx="542925" cy="333375"/>
        </a:xfrm>
        <a:prstGeom xmlns:a="http://schemas.openxmlformats.org/drawingml/2006/main" prst="rect">
          <a:avLst/>
        </a:prstGeom>
      </cdr:spPr>
      <cdr:txBody>
        <a:bodyPr xmlns:a="http://schemas.openxmlformats.org/drawingml/2006/main" vertOverflow="clip" wrap="none" rtlCol="1"/>
        <a:lstStyle xmlns:a="http://schemas.openxmlformats.org/drawingml/2006/main"/>
        <a:p xmlns:a="http://schemas.openxmlformats.org/drawingml/2006/main">
          <a:endParaRPr lang="en-US"/>
        </a:p>
      </cdr:txBody>
    </cdr:sp>
  </cdr:relSizeAnchor>
  <cdr:relSizeAnchor xmlns:cdr="http://schemas.openxmlformats.org/drawingml/2006/chartDrawing">
    <cdr:from>
      <cdr:x>0.34009</cdr:x>
      <cdr:y>0.61885</cdr:y>
    </cdr:from>
    <cdr:to>
      <cdr:x>0.39979</cdr:x>
      <cdr:y>0.65693</cdr:y>
    </cdr:to>
    <cdr:sp macro="" textlink="">
      <cdr:nvSpPr>
        <cdr:cNvPr id="136" name="TextBox 135"/>
        <cdr:cNvSpPr txBox="1"/>
      </cdr:nvSpPr>
      <cdr:spPr>
        <a:xfrm xmlns:a="http://schemas.openxmlformats.org/drawingml/2006/main">
          <a:off x="2819400" y="3505200"/>
          <a:ext cx="495300" cy="247650"/>
        </a:xfrm>
        <a:prstGeom xmlns:a="http://schemas.openxmlformats.org/drawingml/2006/main" prst="rect">
          <a:avLst/>
        </a:prstGeom>
      </cdr:spPr>
      <cdr:txBody>
        <a:bodyPr xmlns:a="http://schemas.openxmlformats.org/drawingml/2006/main" vertOverflow="clip" wrap="none" rtlCol="1"/>
        <a:lstStyle xmlns:a="http://schemas.openxmlformats.org/drawingml/2006/main"/>
        <a:p xmlns:a="http://schemas.openxmlformats.org/drawingml/2006/main">
          <a:endParaRPr lang="en-US"/>
        </a:p>
      </cdr:txBody>
    </cdr:sp>
  </cdr:relSizeAnchor>
  <cdr:relSizeAnchor xmlns:cdr="http://schemas.openxmlformats.org/drawingml/2006/chartDrawing">
    <cdr:from>
      <cdr:x>0.03539</cdr:x>
      <cdr:y>0.1128</cdr:y>
    </cdr:from>
    <cdr:to>
      <cdr:x>0.18151</cdr:x>
      <cdr:y>0.17073</cdr:y>
    </cdr:to>
    <cdr:sp macro="" textlink="">
      <cdr:nvSpPr>
        <cdr:cNvPr id="99" name="TextBox 98"/>
        <cdr:cNvSpPr txBox="1"/>
      </cdr:nvSpPr>
      <cdr:spPr>
        <a:xfrm xmlns:a="http://schemas.openxmlformats.org/drawingml/2006/main">
          <a:off x="295276" y="704850"/>
          <a:ext cx="1219200" cy="3619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fa-IR" sz="1000">
              <a:cs typeface="B Titr" pitchFamily="2" charset="-78"/>
            </a:rPr>
            <a:t>ارقام</a:t>
          </a:r>
          <a:r>
            <a:rPr lang="fa-IR" sz="1000" baseline="0">
              <a:cs typeface="B Titr" pitchFamily="2" charset="-78"/>
            </a:rPr>
            <a:t> به میلیون ریال</a:t>
          </a:r>
          <a:endParaRPr lang="en-US" sz="1000">
            <a:cs typeface="B Titr" pitchFamily="2" charset="-78"/>
          </a:endParaRP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9525</xdr:colOff>
      <xdr:row>0</xdr:row>
      <xdr:rowOff>38100</xdr:rowOff>
    </xdr:from>
    <xdr:to>
      <xdr:col>11</xdr:col>
      <xdr:colOff>381000</xdr:colOff>
      <xdr:row>26</xdr:row>
      <xdr:rowOff>95250</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1"/>
        <cdr:cNvSpPr txBox="1"/>
      </cdr:nvSpPr>
      <cdr:spPr>
        <a:xfrm xmlns:a="http://schemas.openxmlformats.org/drawingml/2006/main">
          <a:off x="0" y="0"/>
          <a:ext cx="1176618" cy="33617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fa-IR" sz="800" b="1">
              <a:cs typeface="B Titr" pitchFamily="2" charset="-78"/>
            </a:rPr>
            <a:t>ارقام</a:t>
          </a:r>
          <a:r>
            <a:rPr lang="fa-IR" sz="800" b="1" baseline="0">
              <a:cs typeface="B Titr" pitchFamily="2" charset="-78"/>
            </a:rPr>
            <a:t> به میلیون ریال</a:t>
          </a:r>
          <a:endParaRPr lang="en-US" sz="800" b="1">
            <a:cs typeface="B Titr" pitchFamily="2" charset="-78"/>
          </a:endParaRPr>
        </a:p>
      </cdr:txBody>
    </cdr:sp>
  </cdr:relSizeAnchor>
  <cdr:relSizeAnchor xmlns:cdr="http://schemas.openxmlformats.org/drawingml/2006/chartDrawing">
    <cdr:from>
      <cdr:x>0.04141</cdr:x>
      <cdr:y>0.047</cdr:y>
    </cdr:from>
    <cdr:to>
      <cdr:x>0.14844</cdr:x>
      <cdr:y>0.11021</cdr:y>
    </cdr:to>
    <cdr:pic>
      <cdr:nvPicPr>
        <cdr:cNvPr id="3" name="chart">
          <a:extLst xmlns:a="http://schemas.openxmlformats.org/drawingml/2006/main">
            <a:ext uri="{FF2B5EF4-FFF2-40B4-BE49-F238E27FC236}">
              <a16:creationId xmlns:a16="http://schemas.microsoft.com/office/drawing/2014/main" id="{F69A4674-8704-4109-913C-5904164CB7E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53410" y="276225"/>
          <a:ext cx="913415" cy="371476"/>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Sheibeh/Desktop/13990228/&#1586;&#1585;&#1575;&#1587;&#1608;&#1606;&#1583;&#1740;.xlsm" TargetMode="External"/><Relationship Id="rId1" Type="http://schemas.openxmlformats.org/officeDocument/2006/relationships/externalLinkPath" Target="/Users/Sheibeh/Desktop/13990228/&#1586;&#1585;&#1575;&#1587;&#1608;&#1606;&#1583;&#174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homaransrv\Documents%20and%20Settings\finance-o4\Application%20Data\Microsoft\Excel\&#1585;&#1588;&#1740;&#1583;-%20&#1575;&#1588;&#1582;&#1575;&#1589;\Book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سنواتی"/>
      <sheetName val="جاری"/>
      <sheetName val="Sheet1"/>
    </sheetNames>
    <sheetDataSet>
      <sheetData sheetId="0">
        <row r="105">
          <cell r="A105" t="str">
            <v xml:space="preserve">ابراهيم  حلاج                                                                                       </v>
          </cell>
        </row>
        <row r="118">
          <cell r="B118" t="str">
            <v>توسعه كارآفريني</v>
          </cell>
          <cell r="D118" t="str">
            <v>اختصاصي-مصوب ملي</v>
          </cell>
          <cell r="F118">
            <v>35000000</v>
          </cell>
        </row>
        <row r="119">
          <cell r="B119" t="str">
            <v>توسعه كارآفريني</v>
          </cell>
          <cell r="D119" t="str">
            <v>اختصاصي-مصوب ملي</v>
          </cell>
          <cell r="F119">
            <v>10000000</v>
          </cell>
        </row>
      </sheetData>
      <sheetData sheetId="1" refreshError="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0">
    <pageSetUpPr fitToPage="1"/>
  </sheetPr>
  <dimension ref="A1:I24"/>
  <sheetViews>
    <sheetView rightToLeft="1" view="pageBreakPreview" topLeftCell="A13" zoomScaleSheetLayoutView="100" workbookViewId="0">
      <selection activeCell="H435" sqref="H435"/>
    </sheetView>
  </sheetViews>
  <sheetFormatPr defaultColWidth="10.28515625" defaultRowHeight="35.25" customHeight="1"/>
  <cols>
    <col min="1" max="1" width="2.85546875" style="93" customWidth="1"/>
    <col min="2" max="3" width="4" style="93" customWidth="1"/>
    <col min="4" max="4" width="7" style="93" customWidth="1"/>
    <col min="5" max="5" width="18.140625" style="93" customWidth="1"/>
    <col min="6" max="6" width="5.7109375" style="93" customWidth="1"/>
    <col min="7" max="7" width="18.85546875" style="93" customWidth="1"/>
    <col min="8" max="8" width="7.140625" style="93" customWidth="1"/>
    <col min="9" max="9" width="23.5703125" style="93" customWidth="1"/>
    <col min="10" max="16384" width="10.28515625" style="93"/>
  </cols>
  <sheetData>
    <row r="1" spans="1:9" ht="42.75" customHeight="1">
      <c r="A1" s="770" t="s">
        <v>500</v>
      </c>
      <c r="B1" s="770"/>
      <c r="C1" s="770"/>
      <c r="D1" s="770"/>
      <c r="E1" s="770"/>
      <c r="F1" s="770"/>
      <c r="G1" s="770"/>
      <c r="H1" s="770"/>
      <c r="I1" s="770"/>
    </row>
    <row r="2" spans="1:9" ht="25.5" customHeight="1">
      <c r="A2" s="438"/>
      <c r="B2" s="438"/>
      <c r="C2" s="438"/>
      <c r="D2" s="438"/>
      <c r="E2" s="438"/>
      <c r="F2" s="438"/>
      <c r="G2" s="438"/>
      <c r="H2" s="438"/>
      <c r="I2" s="438"/>
    </row>
    <row r="3" spans="1:9" ht="28.5">
      <c r="A3" s="438"/>
      <c r="B3" s="439" t="s">
        <v>958</v>
      </c>
      <c r="C3" s="439"/>
      <c r="D3" s="438"/>
      <c r="E3" s="438"/>
      <c r="F3" s="438"/>
      <c r="G3" s="438"/>
      <c r="H3" s="438"/>
      <c r="I3" s="438"/>
    </row>
    <row r="4" spans="1:9" ht="27">
      <c r="A4" s="438"/>
      <c r="B4" s="440" t="s">
        <v>22</v>
      </c>
      <c r="C4" s="441"/>
      <c r="D4" s="438"/>
      <c r="E4" s="438"/>
      <c r="F4" s="438"/>
      <c r="G4" s="438"/>
      <c r="H4" s="438"/>
      <c r="I4" s="438"/>
    </row>
    <row r="5" spans="1:9" ht="27">
      <c r="A5" s="438"/>
      <c r="B5" s="442" t="s">
        <v>963</v>
      </c>
      <c r="C5" s="443"/>
      <c r="D5" s="438"/>
      <c r="E5" s="438"/>
      <c r="F5" s="438"/>
      <c r="G5" s="438"/>
      <c r="H5" s="438"/>
      <c r="I5" s="438"/>
    </row>
    <row r="6" spans="1:9" ht="27">
      <c r="A6" s="438"/>
      <c r="B6" s="443" t="s">
        <v>733</v>
      </c>
      <c r="C6" s="438"/>
      <c r="D6" s="438"/>
      <c r="E6" s="438"/>
      <c r="F6" s="438"/>
      <c r="G6" s="438"/>
      <c r="H6" s="438"/>
      <c r="I6" s="438"/>
    </row>
    <row r="7" spans="1:9" ht="27">
      <c r="A7" s="438"/>
      <c r="B7" s="438"/>
      <c r="C7" s="771" t="s">
        <v>23</v>
      </c>
      <c r="D7" s="771"/>
      <c r="E7" s="771"/>
      <c r="F7" s="771"/>
      <c r="G7" s="771"/>
      <c r="H7" s="438"/>
      <c r="I7" s="444" t="s">
        <v>24</v>
      </c>
    </row>
    <row r="8" spans="1:9" s="438" customFormat="1" ht="29.25" customHeight="1">
      <c r="C8" s="712" t="s">
        <v>86</v>
      </c>
      <c r="D8" s="712"/>
      <c r="E8" s="713"/>
      <c r="F8" s="713"/>
      <c r="G8" s="713"/>
      <c r="H8" s="713"/>
      <c r="I8" s="714">
        <v>2</v>
      </c>
    </row>
    <row r="9" spans="1:9" s="438" customFormat="1" ht="29.25" customHeight="1">
      <c r="C9" s="715" t="s">
        <v>60</v>
      </c>
      <c r="D9" s="716"/>
      <c r="E9" s="715"/>
      <c r="F9" s="715"/>
      <c r="G9" s="715"/>
      <c r="H9" s="715"/>
      <c r="I9" s="714">
        <v>3</v>
      </c>
    </row>
    <row r="10" spans="1:9" s="438" customFormat="1" ht="29.25" customHeight="1">
      <c r="C10" s="715" t="s">
        <v>87</v>
      </c>
      <c r="D10" s="715"/>
      <c r="E10" s="715"/>
      <c r="F10" s="715"/>
      <c r="G10" s="715"/>
      <c r="H10" s="715"/>
      <c r="I10" s="717">
        <v>4</v>
      </c>
    </row>
    <row r="11" spans="1:9" s="438" customFormat="1" ht="17.25" customHeight="1">
      <c r="C11" s="715"/>
      <c r="D11" s="715"/>
      <c r="E11" s="715"/>
      <c r="F11" s="715"/>
      <c r="G11" s="715"/>
      <c r="H11" s="715"/>
      <c r="I11" s="718"/>
    </row>
    <row r="12" spans="1:9" s="438" customFormat="1" ht="29.25" customHeight="1">
      <c r="C12" s="438" t="s">
        <v>540</v>
      </c>
      <c r="E12" s="715"/>
      <c r="F12" s="715"/>
      <c r="G12" s="715"/>
      <c r="H12" s="715"/>
      <c r="I12" s="718"/>
    </row>
    <row r="13" spans="1:9" s="438" customFormat="1" ht="27" customHeight="1">
      <c r="D13" s="713" t="s">
        <v>501</v>
      </c>
      <c r="E13" s="715"/>
      <c r="F13" s="715"/>
      <c r="G13" s="715"/>
      <c r="H13" s="715"/>
      <c r="I13" s="717">
        <v>5</v>
      </c>
    </row>
    <row r="14" spans="1:9" s="438" customFormat="1" ht="27" customHeight="1">
      <c r="D14" s="719" t="s">
        <v>541</v>
      </c>
      <c r="E14" s="715"/>
      <c r="F14" s="715"/>
      <c r="G14" s="715"/>
      <c r="H14" s="715"/>
      <c r="I14" s="718" t="s">
        <v>548</v>
      </c>
    </row>
    <row r="15" spans="1:9" s="438" customFormat="1" ht="27" customHeight="1">
      <c r="D15" s="715" t="s">
        <v>502</v>
      </c>
      <c r="E15" s="715"/>
      <c r="F15" s="715"/>
      <c r="G15" s="715"/>
      <c r="H15" s="715"/>
      <c r="I15" s="718" t="s">
        <v>973</v>
      </c>
    </row>
    <row r="16" spans="1:9" ht="26.25" customHeight="1">
      <c r="C16" s="94"/>
      <c r="D16" s="94"/>
      <c r="E16" s="94"/>
      <c r="F16" s="94"/>
      <c r="G16" s="94"/>
      <c r="H16" s="94"/>
      <c r="I16" s="95"/>
    </row>
    <row r="17" spans="2:9" ht="20.100000000000001" customHeight="1">
      <c r="D17" s="94"/>
      <c r="E17" s="94"/>
      <c r="F17" s="94"/>
      <c r="G17" s="94"/>
      <c r="H17" s="94"/>
      <c r="I17" s="95"/>
    </row>
    <row r="18" spans="2:9" ht="6.75" customHeight="1">
      <c r="I18" s="96"/>
    </row>
    <row r="19" spans="2:9" s="438" customFormat="1" ht="41.25" customHeight="1">
      <c r="B19" s="438" t="s">
        <v>959</v>
      </c>
    </row>
    <row r="20" spans="2:9" s="438" customFormat="1" ht="27">
      <c r="B20" s="720" t="s">
        <v>25</v>
      </c>
      <c r="C20" s="720"/>
      <c r="D20" s="721"/>
      <c r="E20" s="721"/>
      <c r="G20" s="444" t="s">
        <v>26</v>
      </c>
      <c r="I20" s="444" t="s">
        <v>27</v>
      </c>
    </row>
    <row r="21" spans="2:9" s="438" customFormat="1" ht="14.25" customHeight="1">
      <c r="B21" s="440"/>
      <c r="C21" s="440"/>
      <c r="G21" s="722"/>
      <c r="I21" s="722"/>
    </row>
    <row r="22" spans="2:9" s="438" customFormat="1" ht="36" customHeight="1">
      <c r="B22" s="439" t="s">
        <v>581</v>
      </c>
      <c r="C22" s="439"/>
      <c r="D22" s="439"/>
      <c r="E22" s="439"/>
      <c r="F22" s="439"/>
      <c r="G22" s="439" t="s">
        <v>401</v>
      </c>
      <c r="I22" s="722"/>
    </row>
    <row r="23" spans="2:9" s="438" customFormat="1" ht="60.75" customHeight="1">
      <c r="B23" s="440"/>
      <c r="C23" s="440"/>
      <c r="G23" s="722"/>
      <c r="I23" s="722"/>
    </row>
    <row r="24" spans="2:9" s="438" customFormat="1" ht="36" customHeight="1">
      <c r="B24" s="439" t="s">
        <v>128</v>
      </c>
      <c r="C24" s="439"/>
      <c r="D24" s="439"/>
      <c r="E24" s="439"/>
      <c r="F24" s="439" t="s">
        <v>28</v>
      </c>
      <c r="G24" s="439" t="s">
        <v>425</v>
      </c>
      <c r="I24" s="722"/>
    </row>
  </sheetData>
  <mergeCells count="2">
    <mergeCell ref="A1:I1"/>
    <mergeCell ref="C7:G7"/>
  </mergeCells>
  <phoneticPr fontId="3" type="noConversion"/>
  <pageMargins left="0.19685039370078741" right="0.91" top="1.574803149606299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2"/>
  <sheetViews>
    <sheetView rightToLeft="1" view="pageBreakPreview" zoomScaleNormal="80" zoomScaleSheetLayoutView="100" workbookViewId="0">
      <selection activeCell="A3" sqref="A3:O3"/>
    </sheetView>
  </sheetViews>
  <sheetFormatPr defaultColWidth="10.42578125" defaultRowHeight="18"/>
  <cols>
    <col min="1" max="1" width="39.28515625" style="136" customWidth="1"/>
    <col min="2" max="2" width="0.85546875" style="136" customWidth="1"/>
    <col min="3" max="3" width="5.7109375" style="136" customWidth="1"/>
    <col min="4" max="4" width="0.85546875" style="136" customWidth="1"/>
    <col min="5" max="5" width="18" style="136" bestFit="1" customWidth="1"/>
    <col min="6" max="6" width="0.85546875" style="136" customWidth="1"/>
    <col min="7" max="7" width="17.7109375" style="136" bestFit="1" customWidth="1"/>
    <col min="8" max="8" width="0.85546875" style="136" customWidth="1"/>
    <col min="9" max="9" width="39" style="136" customWidth="1"/>
    <col min="10" max="10" width="0.85546875" style="136" customWidth="1"/>
    <col min="11" max="11" width="6" style="136" customWidth="1"/>
    <col min="12" max="12" width="0.85546875" style="136" customWidth="1"/>
    <col min="13" max="13" width="17.7109375" style="136" bestFit="1" customWidth="1"/>
    <col min="14" max="14" width="0.85546875" style="136" customWidth="1"/>
    <col min="15" max="15" width="16.85546875" style="136" customWidth="1"/>
    <col min="16" max="16" width="14.42578125" style="136" bestFit="1" customWidth="1"/>
    <col min="17" max="17" width="1" style="136" customWidth="1"/>
    <col min="18" max="18" width="10.85546875" style="136" bestFit="1" customWidth="1"/>
    <col min="19" max="19" width="0.85546875" style="136" customWidth="1"/>
    <col min="20" max="20" width="26.140625" style="136" customWidth="1"/>
    <col min="21" max="21" width="0.85546875" style="136" customWidth="1"/>
    <col min="22" max="22" width="26.140625" style="136" customWidth="1"/>
    <col min="23" max="26" width="10.42578125" style="136"/>
    <col min="27" max="27" width="38.42578125" style="136" customWidth="1"/>
    <col min="28" max="28" width="0.85546875" style="136" customWidth="1"/>
    <col min="29" max="29" width="7.7109375" style="136" customWidth="1"/>
    <col min="30" max="30" width="0.85546875" style="136" customWidth="1"/>
    <col min="31" max="31" width="30.7109375" style="136" customWidth="1"/>
    <col min="32" max="38" width="10.42578125" style="136"/>
    <col min="39" max="39" width="7.7109375" style="136" customWidth="1"/>
    <col min="40" max="41" width="41.42578125" style="136" customWidth="1"/>
    <col min="42" max="43" width="23" style="136" customWidth="1"/>
    <col min="44" max="44" width="35.28515625" style="136" customWidth="1"/>
    <col min="45" max="16384" width="10.42578125" style="136"/>
  </cols>
  <sheetData>
    <row r="1" spans="1:18" ht="25.5">
      <c r="A1" s="772" t="s">
        <v>960</v>
      </c>
      <c r="B1" s="772"/>
      <c r="C1" s="772"/>
      <c r="D1" s="772"/>
      <c r="E1" s="772"/>
      <c r="F1" s="772"/>
      <c r="G1" s="772"/>
      <c r="H1" s="772"/>
      <c r="I1" s="772"/>
      <c r="J1" s="772"/>
      <c r="K1" s="772"/>
      <c r="L1" s="772"/>
      <c r="M1" s="772"/>
      <c r="N1" s="772"/>
      <c r="O1" s="772"/>
    </row>
    <row r="2" spans="1:18" ht="25.5">
      <c r="A2" s="772" t="s">
        <v>86</v>
      </c>
      <c r="B2" s="772"/>
      <c r="C2" s="772"/>
      <c r="D2" s="772"/>
      <c r="E2" s="772"/>
      <c r="F2" s="772"/>
      <c r="G2" s="772"/>
      <c r="H2" s="772"/>
      <c r="I2" s="772"/>
      <c r="J2" s="772"/>
      <c r="K2" s="772"/>
      <c r="L2" s="772"/>
      <c r="M2" s="772"/>
      <c r="N2" s="772"/>
      <c r="O2" s="772"/>
    </row>
    <row r="3" spans="1:18" ht="25.5">
      <c r="A3" s="772" t="s">
        <v>721</v>
      </c>
      <c r="B3" s="772"/>
      <c r="C3" s="772"/>
      <c r="D3" s="772"/>
      <c r="E3" s="772"/>
      <c r="F3" s="772"/>
      <c r="G3" s="772"/>
      <c r="H3" s="772"/>
      <c r="I3" s="772"/>
      <c r="J3" s="772"/>
      <c r="K3" s="772"/>
      <c r="L3" s="772"/>
      <c r="M3" s="772"/>
      <c r="N3" s="772"/>
      <c r="O3" s="772"/>
    </row>
    <row r="4" spans="1:18" ht="21">
      <c r="A4" s="392"/>
      <c r="B4" s="392"/>
      <c r="C4" s="392"/>
      <c r="D4" s="392"/>
      <c r="E4" s="393"/>
      <c r="F4" s="773" t="s">
        <v>637</v>
      </c>
      <c r="G4" s="773"/>
      <c r="H4" s="773"/>
      <c r="I4" s="392"/>
      <c r="J4" s="392"/>
      <c r="K4" s="392"/>
      <c r="L4" s="392"/>
      <c r="M4" s="392"/>
      <c r="N4" s="392"/>
      <c r="O4" s="730" t="s">
        <v>637</v>
      </c>
      <c r="P4" s="342"/>
      <c r="Q4" s="342"/>
    </row>
    <row r="5" spans="1:18" ht="22.5">
      <c r="A5" s="394" t="s">
        <v>365</v>
      </c>
      <c r="B5" s="392"/>
      <c r="C5" s="395" t="s">
        <v>70</v>
      </c>
      <c r="D5" s="396"/>
      <c r="E5" s="397" t="s">
        <v>722</v>
      </c>
      <c r="F5" s="398"/>
      <c r="G5" s="397" t="s">
        <v>601</v>
      </c>
      <c r="H5" s="399"/>
      <c r="I5" s="394" t="s">
        <v>366</v>
      </c>
      <c r="J5" s="392"/>
      <c r="K5" s="395" t="s">
        <v>70</v>
      </c>
      <c r="L5" s="396"/>
      <c r="M5" s="397" t="s">
        <v>722</v>
      </c>
      <c r="N5" s="398"/>
      <c r="O5" s="397" t="s">
        <v>601</v>
      </c>
    </row>
    <row r="6" spans="1:18" ht="19.5">
      <c r="A6" s="400"/>
      <c r="B6" s="400"/>
      <c r="C6" s="400"/>
      <c r="D6" s="400"/>
      <c r="E6" s="398" t="s">
        <v>42</v>
      </c>
      <c r="F6" s="400"/>
      <c r="G6" s="398" t="s">
        <v>42</v>
      </c>
      <c r="H6" s="400"/>
      <c r="I6" s="400"/>
      <c r="J6" s="400"/>
      <c r="K6" s="400"/>
      <c r="L6" s="400"/>
      <c r="M6" s="398" t="s">
        <v>42</v>
      </c>
      <c r="N6" s="400"/>
      <c r="O6" s="398" t="s">
        <v>42</v>
      </c>
    </row>
    <row r="7" spans="1:18" ht="22.5">
      <c r="A7" s="401" t="s">
        <v>367</v>
      </c>
      <c r="I7" s="401" t="s">
        <v>368</v>
      </c>
      <c r="M7" s="400"/>
    </row>
    <row r="8" spans="1:18" ht="22.5" customHeight="1">
      <c r="A8" s="402" t="s">
        <v>57</v>
      </c>
      <c r="B8" s="400"/>
      <c r="C8" s="593">
        <v>4</v>
      </c>
      <c r="D8" s="400"/>
      <c r="E8" s="393">
        <f>يادداشتها!F12</f>
        <v>110234473507</v>
      </c>
      <c r="F8" s="393">
        <f>يادداشتها!G12</f>
        <v>0</v>
      </c>
      <c r="G8" s="393">
        <f>يادداشتها!H12</f>
        <v>28201194476</v>
      </c>
      <c r="H8" s="400"/>
      <c r="I8" s="404" t="s">
        <v>591</v>
      </c>
      <c r="J8" s="400"/>
      <c r="K8" s="398">
        <v>12</v>
      </c>
      <c r="L8" s="400"/>
      <c r="M8" s="393">
        <f>يادداشتها!F226</f>
        <v>12057773251</v>
      </c>
      <c r="N8" s="393">
        <f>يادداشتها!G226</f>
        <v>0</v>
      </c>
      <c r="O8" s="393">
        <f>يادداشتها!H226</f>
        <v>6692411625</v>
      </c>
    </row>
    <row r="9" spans="1:18" ht="22.5" customHeight="1">
      <c r="A9" s="402" t="s">
        <v>369</v>
      </c>
      <c r="B9" s="400"/>
      <c r="C9" s="593">
        <v>5</v>
      </c>
      <c r="D9" s="400"/>
      <c r="E9" s="393">
        <f>يادداشتها!F72</f>
        <v>17602460634</v>
      </c>
      <c r="F9" s="393">
        <f>يادداشتها!G72</f>
        <v>0</v>
      </c>
      <c r="G9" s="393">
        <f>يادداشتها!H72</f>
        <v>11801010994</v>
      </c>
      <c r="H9" s="400"/>
      <c r="I9" s="404" t="s">
        <v>538</v>
      </c>
      <c r="J9" s="400"/>
      <c r="K9" s="398">
        <v>13</v>
      </c>
      <c r="L9" s="400"/>
      <c r="M9" s="393">
        <f>يادداشتها!F266</f>
        <v>0</v>
      </c>
      <c r="N9" s="393">
        <f>يادداشتها!G266</f>
        <v>0</v>
      </c>
      <c r="O9" s="393">
        <f>يادداشتها!H266</f>
        <v>1753349492</v>
      </c>
      <c r="P9" s="135"/>
    </row>
    <row r="10" spans="1:18" ht="22.5" customHeight="1">
      <c r="A10" s="402" t="s">
        <v>537</v>
      </c>
      <c r="B10" s="400"/>
      <c r="C10" s="593">
        <v>6</v>
      </c>
      <c r="D10" s="400"/>
      <c r="E10" s="393">
        <f>يادداشتها!F94</f>
        <v>10149042108</v>
      </c>
      <c r="F10" s="393">
        <f>يادداشتها!G94</f>
        <v>0</v>
      </c>
      <c r="G10" s="393">
        <f>يادداشتها!H94</f>
        <v>1734077013</v>
      </c>
      <c r="H10" s="400"/>
      <c r="I10" s="404" t="s">
        <v>370</v>
      </c>
      <c r="J10" s="400"/>
      <c r="K10" s="398">
        <v>14</v>
      </c>
      <c r="L10" s="400"/>
      <c r="M10" s="393">
        <f>يادداشتها!F272</f>
        <v>0</v>
      </c>
      <c r="N10" s="393">
        <f>يادداشتها!G272</f>
        <v>0</v>
      </c>
      <c r="O10" s="393">
        <f>يادداشتها!H272</f>
        <v>2607500000</v>
      </c>
    </row>
    <row r="11" spans="1:18" ht="22.5" customHeight="1">
      <c r="A11" s="402" t="s">
        <v>371</v>
      </c>
      <c r="B11" s="400"/>
      <c r="C11" s="593">
        <v>7</v>
      </c>
      <c r="D11" s="400"/>
      <c r="E11" s="393">
        <f>يادداشتها!F103</f>
        <v>1502834359</v>
      </c>
      <c r="F11" s="393">
        <f>يادداشتها!G103</f>
        <v>0</v>
      </c>
      <c r="G11" s="393">
        <f>يادداشتها!H103</f>
        <v>3228122359</v>
      </c>
      <c r="H11" s="400"/>
      <c r="I11" s="400"/>
      <c r="J11" s="400"/>
      <c r="K11" s="398"/>
      <c r="L11" s="400"/>
      <c r="M11" s="400"/>
      <c r="N11" s="400"/>
      <c r="O11" s="400"/>
    </row>
    <row r="12" spans="1:18" ht="22.5" customHeight="1">
      <c r="A12" s="402" t="s">
        <v>373</v>
      </c>
      <c r="B12" s="400"/>
      <c r="C12" s="593"/>
      <c r="D12" s="400"/>
      <c r="E12" s="460">
        <f>SUM(E8:E11)</f>
        <v>139488810608</v>
      </c>
      <c r="F12" s="460">
        <f>SUM(F8:F11)</f>
        <v>0</v>
      </c>
      <c r="G12" s="460">
        <f>SUM(G8:G11)</f>
        <v>44964404842</v>
      </c>
      <c r="H12" s="594">
        <f>يادداشتها!I103</f>
        <v>0</v>
      </c>
      <c r="I12" s="402" t="s">
        <v>372</v>
      </c>
      <c r="J12" s="400"/>
      <c r="K12" s="398"/>
      <c r="L12" s="400"/>
      <c r="M12" s="460">
        <f>SUM(M8:M11)</f>
        <v>12057773251</v>
      </c>
      <c r="N12" s="400"/>
      <c r="O12" s="460">
        <f>SUM(O8:O11)</f>
        <v>11053261117</v>
      </c>
    </row>
    <row r="13" spans="1:18" ht="22.5" customHeight="1">
      <c r="A13" s="401" t="s">
        <v>375</v>
      </c>
      <c r="B13" s="400"/>
      <c r="C13" s="593"/>
      <c r="D13" s="400"/>
      <c r="E13" s="400"/>
      <c r="F13" s="400"/>
      <c r="G13" s="400"/>
      <c r="H13" s="400"/>
      <c r="I13" s="401" t="s">
        <v>374</v>
      </c>
      <c r="J13" s="400"/>
      <c r="K13" s="398"/>
      <c r="L13" s="400"/>
      <c r="M13" s="552"/>
      <c r="N13" s="400"/>
      <c r="O13" s="552"/>
    </row>
    <row r="14" spans="1:18" ht="22.5" customHeight="1">
      <c r="A14" s="400"/>
      <c r="B14" s="400"/>
      <c r="C14" s="593"/>
      <c r="D14" s="400"/>
      <c r="E14" s="552"/>
      <c r="F14" s="400"/>
      <c r="G14" s="552"/>
      <c r="H14" s="400"/>
      <c r="I14" s="402" t="s">
        <v>58</v>
      </c>
      <c r="J14" s="400"/>
      <c r="K14" s="398">
        <v>15</v>
      </c>
      <c r="L14" s="400"/>
      <c r="M14" s="393">
        <f>يادداشتها!F283</f>
        <v>24569309765</v>
      </c>
      <c r="N14" s="393">
        <f>يادداشتها!G283</f>
        <v>0</v>
      </c>
      <c r="O14" s="393">
        <f>يادداشتها!H283</f>
        <v>21394779005</v>
      </c>
    </row>
    <row r="15" spans="1:18" ht="22.5" customHeight="1">
      <c r="A15" s="402" t="s">
        <v>376</v>
      </c>
      <c r="B15" s="400"/>
      <c r="C15" s="593">
        <v>8</v>
      </c>
      <c r="D15" s="400"/>
      <c r="E15" s="393">
        <f>'دارایی ثابت مشهود'!N16</f>
        <v>930623919515</v>
      </c>
      <c r="F15" s="393"/>
      <c r="G15" s="393">
        <f>'دارایی ثابت مشهود'!O16</f>
        <v>906823308496</v>
      </c>
      <c r="H15" s="400"/>
      <c r="I15" s="402" t="s">
        <v>378</v>
      </c>
      <c r="J15" s="400"/>
      <c r="K15" s="398">
        <v>16</v>
      </c>
      <c r="L15" s="400"/>
      <c r="M15" s="393">
        <f>يادداشتها!F292</f>
        <v>2489711811</v>
      </c>
      <c r="N15" s="393">
        <f>يادداشتها!G292</f>
        <v>0</v>
      </c>
      <c r="O15" s="393">
        <f>يادداشتها!H292</f>
        <v>2054176320</v>
      </c>
      <c r="P15" s="135"/>
      <c r="R15" s="135"/>
    </row>
    <row r="16" spans="1:18" ht="22.5" customHeight="1">
      <c r="A16" s="402" t="s">
        <v>377</v>
      </c>
      <c r="B16" s="400"/>
      <c r="C16" s="593">
        <v>9</v>
      </c>
      <c r="D16" s="400"/>
      <c r="E16" s="393">
        <f>'دارایی نامشهود'!N11</f>
        <v>32387008784</v>
      </c>
      <c r="F16" s="552">
        <f>يادداشتها!G192</f>
        <v>0</v>
      </c>
      <c r="G16" s="393">
        <f>'دارایی نامشهود'!O11</f>
        <v>28344320833</v>
      </c>
      <c r="H16" s="400"/>
      <c r="I16" s="402" t="s">
        <v>380</v>
      </c>
      <c r="J16" s="400"/>
      <c r="K16" s="398"/>
      <c r="L16" s="400"/>
      <c r="M16" s="460">
        <f>SUM(M14:M15)</f>
        <v>27059021576</v>
      </c>
      <c r="N16" s="400"/>
      <c r="O16" s="460">
        <f>SUM(O14:O15)</f>
        <v>23448955325</v>
      </c>
      <c r="P16" s="135"/>
      <c r="R16" s="135"/>
    </row>
    <row r="17" spans="1:44" ht="22.5" customHeight="1">
      <c r="A17" s="402" t="s">
        <v>379</v>
      </c>
      <c r="B17" s="400"/>
      <c r="C17" s="593">
        <v>10</v>
      </c>
      <c r="D17" s="400"/>
      <c r="E17" s="393">
        <f>يادداشتها!F200</f>
        <v>25301169258</v>
      </c>
      <c r="F17" s="552">
        <f>يادداشتها!G200</f>
        <v>0</v>
      </c>
      <c r="G17" s="393">
        <f>يادداشتها!H200</f>
        <v>18362300000</v>
      </c>
      <c r="H17" s="400"/>
      <c r="I17" s="402" t="s">
        <v>388</v>
      </c>
      <c r="J17" s="400"/>
      <c r="K17" s="398"/>
      <c r="L17" s="400"/>
      <c r="M17" s="460">
        <f>M16+M12</f>
        <v>39116794827</v>
      </c>
      <c r="N17" s="400"/>
      <c r="O17" s="460">
        <f>O16+O12</f>
        <v>34502216442</v>
      </c>
    </row>
    <row r="18" spans="1:44" ht="22.5" customHeight="1">
      <c r="A18" s="402" t="s">
        <v>410</v>
      </c>
      <c r="B18" s="400"/>
      <c r="C18" s="593">
        <v>11</v>
      </c>
      <c r="D18" s="400"/>
      <c r="E18" s="393">
        <f>يادداشتها!F209</f>
        <v>36673485202</v>
      </c>
      <c r="F18" s="393">
        <f>يادداشتها!G209</f>
        <v>0</v>
      </c>
      <c r="G18" s="393">
        <f>يادداشتها!H209</f>
        <v>28682034677</v>
      </c>
      <c r="H18" s="595">
        <f>يادداشتها!I209</f>
        <v>0</v>
      </c>
      <c r="I18" s="402" t="s">
        <v>381</v>
      </c>
      <c r="J18" s="400"/>
      <c r="K18" s="398"/>
      <c r="L18" s="400"/>
      <c r="M18" s="552"/>
      <c r="N18" s="400"/>
      <c r="O18" s="552"/>
    </row>
    <row r="19" spans="1:44" ht="22.5" customHeight="1">
      <c r="A19" s="403"/>
      <c r="B19" s="400"/>
      <c r="C19" s="593"/>
      <c r="D19" s="400"/>
      <c r="E19" s="393"/>
      <c r="F19" s="400"/>
      <c r="G19" s="393"/>
      <c r="H19" s="400"/>
      <c r="I19" s="405" t="s">
        <v>383</v>
      </c>
      <c r="J19" s="400"/>
      <c r="K19" s="398"/>
      <c r="L19" s="400"/>
      <c r="M19" s="393">
        <f>ع!G31</f>
        <v>1125357598540</v>
      </c>
      <c r="N19" s="400"/>
      <c r="O19" s="393">
        <f>ع!I31</f>
        <v>992674152405.85938</v>
      </c>
    </row>
    <row r="20" spans="1:44" ht="22.5" customHeight="1">
      <c r="A20" s="402" t="s">
        <v>382</v>
      </c>
      <c r="B20" s="400"/>
      <c r="C20" s="400"/>
      <c r="D20" s="400"/>
      <c r="E20" s="460">
        <f>SUM(E15:E19)</f>
        <v>1024985582759</v>
      </c>
      <c r="F20" s="400"/>
      <c r="G20" s="460">
        <f>SUM(G15:G19)</f>
        <v>982211964006</v>
      </c>
      <c r="H20" s="400"/>
      <c r="I20" s="402" t="s">
        <v>59</v>
      </c>
      <c r="J20" s="400"/>
      <c r="K20" s="400"/>
      <c r="L20" s="400"/>
      <c r="M20" s="460">
        <f>SUM(M19:M19)</f>
        <v>1125357598540</v>
      </c>
      <c r="N20" s="400"/>
      <c r="O20" s="460">
        <f>SUM(O19:O19)</f>
        <v>992674152405.85938</v>
      </c>
    </row>
    <row r="21" spans="1:44" ht="22.5" customHeight="1" thickBot="1">
      <c r="A21" s="401" t="s">
        <v>384</v>
      </c>
      <c r="B21" s="400"/>
      <c r="C21" s="400"/>
      <c r="D21" s="400"/>
      <c r="E21" s="461">
        <f>E20+E12</f>
        <v>1164474393367</v>
      </c>
      <c r="F21" s="400"/>
      <c r="G21" s="461">
        <f>G20+G12</f>
        <v>1027176368848</v>
      </c>
      <c r="H21" s="400"/>
      <c r="I21" s="401" t="s">
        <v>385</v>
      </c>
      <c r="J21" s="400"/>
      <c r="K21" s="400"/>
      <c r="L21" s="400"/>
      <c r="M21" s="461">
        <f>M20+M17</f>
        <v>1164474393367</v>
      </c>
      <c r="N21" s="400"/>
      <c r="O21" s="461">
        <f>O20+O17</f>
        <v>1027176368847.8594</v>
      </c>
    </row>
    <row r="22" spans="1:44" ht="22.5" customHeight="1" thickTop="1"/>
    <row r="23" spans="1:44" ht="22.5" customHeight="1">
      <c r="A23" s="774" t="s">
        <v>386</v>
      </c>
      <c r="B23" s="774"/>
      <c r="C23" s="774"/>
      <c r="D23" s="774"/>
      <c r="E23" s="774"/>
      <c r="F23" s="774"/>
      <c r="G23" s="774"/>
      <c r="H23" s="774"/>
      <c r="I23" s="774"/>
      <c r="J23" s="774"/>
      <c r="K23" s="774"/>
      <c r="L23" s="774"/>
      <c r="M23" s="774"/>
      <c r="N23" s="774"/>
      <c r="O23" s="774"/>
    </row>
    <row r="24" spans="1:44" s="21" customFormat="1" ht="32.25">
      <c r="A24" s="775" t="s">
        <v>145</v>
      </c>
      <c r="B24" s="775"/>
      <c r="C24" s="775"/>
      <c r="D24" s="775"/>
      <c r="E24" s="775"/>
      <c r="F24" s="406"/>
      <c r="G24" s="407"/>
      <c r="H24" s="776" t="s">
        <v>127</v>
      </c>
      <c r="I24" s="776"/>
      <c r="J24" s="776"/>
      <c r="K24" s="776"/>
      <c r="L24" s="776"/>
      <c r="M24" s="776"/>
      <c r="N24" s="149"/>
      <c r="O24" s="149"/>
    </row>
    <row r="25" spans="1:44" ht="25.5">
      <c r="A25" s="775" t="s">
        <v>128</v>
      </c>
      <c r="B25" s="775"/>
      <c r="C25" s="775"/>
      <c r="D25" s="775"/>
      <c r="E25" s="775"/>
      <c r="F25" s="398"/>
      <c r="G25" s="398"/>
      <c r="H25" s="398"/>
      <c r="I25" s="776" t="s">
        <v>581</v>
      </c>
      <c r="J25" s="776"/>
      <c r="K25" s="776"/>
      <c r="L25" s="776"/>
      <c r="M25" s="776"/>
      <c r="N25" s="398"/>
      <c r="O25" s="398"/>
    </row>
    <row r="26" spans="1:44" ht="42.75" customHeight="1">
      <c r="A26" s="777">
        <v>2</v>
      </c>
      <c r="B26" s="777"/>
      <c r="C26" s="777"/>
      <c r="D26" s="777"/>
      <c r="E26" s="777"/>
      <c r="F26" s="777"/>
      <c r="G26" s="777"/>
      <c r="H26" s="777"/>
      <c r="I26" s="777"/>
      <c r="J26" s="777"/>
      <c r="K26" s="777"/>
      <c r="L26" s="777"/>
      <c r="M26" s="777"/>
      <c r="N26" s="777"/>
      <c r="O26" s="777"/>
    </row>
    <row r="27" spans="1:44" ht="24">
      <c r="I27" s="156">
        <f>M21-E21</f>
        <v>0</v>
      </c>
      <c r="K27" s="210"/>
    </row>
    <row r="28" spans="1:44" ht="24">
      <c r="G28" s="134"/>
      <c r="I28" s="156">
        <f>G21-O21</f>
        <v>0.140625</v>
      </c>
    </row>
    <row r="31" spans="1:44">
      <c r="AN31" s="137"/>
      <c r="AO31" s="137"/>
      <c r="AP31" s="137"/>
      <c r="AQ31" s="137"/>
    </row>
    <row r="32" spans="1:44">
      <c r="AO32" s="135"/>
      <c r="AP32" s="135"/>
      <c r="AQ32" s="135"/>
      <c r="AR32" s="135"/>
    </row>
  </sheetData>
  <mergeCells count="10">
    <mergeCell ref="A25:E25"/>
    <mergeCell ref="I25:M25"/>
    <mergeCell ref="A26:O26"/>
    <mergeCell ref="A24:E24"/>
    <mergeCell ref="H24:M24"/>
    <mergeCell ref="A1:O1"/>
    <mergeCell ref="A2:O2"/>
    <mergeCell ref="A3:O3"/>
    <mergeCell ref="F4:H4"/>
    <mergeCell ref="A23:O23"/>
  </mergeCells>
  <printOptions horizontalCentered="1"/>
  <pageMargins left="0.23622047244094491" right="0.19685039370078741" top="0.31496062992125984" bottom="0.15748031496062992" header="0.31496062992125984" footer="0.31496062992125984"/>
  <pageSetup paperSize="9" scale="8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9"/>
  <sheetViews>
    <sheetView rightToLeft="1" view="pageBreakPreview" topLeftCell="A11" zoomScaleNormal="112" zoomScaleSheetLayoutView="100" workbookViewId="0">
      <selection activeCell="A3" sqref="A3:I3"/>
    </sheetView>
  </sheetViews>
  <sheetFormatPr defaultColWidth="10.42578125" defaultRowHeight="18"/>
  <cols>
    <col min="1" max="1" width="33.85546875" style="400" customWidth="1"/>
    <col min="2" max="2" width="1" style="136" customWidth="1"/>
    <col min="3" max="3" width="6.140625" style="136" customWidth="1"/>
    <col min="4" max="4" width="0.85546875" style="136" customWidth="1"/>
    <col min="5" max="5" width="16" style="136" customWidth="1"/>
    <col min="6" max="6" width="0.85546875" style="136" customWidth="1"/>
    <col min="7" max="7" width="18.28515625" style="136" bestFit="1" customWidth="1"/>
    <col min="8" max="8" width="0.85546875" style="136" customWidth="1"/>
    <col min="9" max="10" width="18.28515625" style="136" bestFit="1" customWidth="1"/>
    <col min="11" max="11" width="16.85546875" style="136" bestFit="1" customWidth="1"/>
    <col min="12" max="16" width="10.42578125" style="136"/>
    <col min="17" max="17" width="7.7109375" style="136" customWidth="1"/>
    <col min="18" max="19" width="41.42578125" style="136" customWidth="1"/>
    <col min="20" max="21" width="23" style="136" customWidth="1"/>
    <col min="22" max="22" width="35.28515625" style="136" customWidth="1"/>
    <col min="23" max="16384" width="10.42578125" style="136"/>
  </cols>
  <sheetData>
    <row r="1" spans="1:11" ht="22.5">
      <c r="A1" s="778" t="s">
        <v>960</v>
      </c>
      <c r="B1" s="778"/>
      <c r="C1" s="778"/>
      <c r="D1" s="778"/>
      <c r="E1" s="778"/>
      <c r="F1" s="778"/>
      <c r="G1" s="778"/>
      <c r="H1" s="778"/>
      <c r="I1" s="778"/>
      <c r="J1" s="178"/>
      <c r="K1" s="178"/>
    </row>
    <row r="2" spans="1:11" ht="22.5">
      <c r="A2" s="778" t="s">
        <v>60</v>
      </c>
      <c r="B2" s="778"/>
      <c r="C2" s="778"/>
      <c r="D2" s="778"/>
      <c r="E2" s="778"/>
      <c r="F2" s="778"/>
      <c r="G2" s="778"/>
      <c r="H2" s="778"/>
      <c r="I2" s="778"/>
      <c r="J2" s="178"/>
      <c r="K2" s="178"/>
    </row>
    <row r="3" spans="1:11" ht="22.5">
      <c r="A3" s="778" t="s">
        <v>723</v>
      </c>
      <c r="B3" s="778"/>
      <c r="C3" s="778"/>
      <c r="D3" s="778"/>
      <c r="E3" s="778"/>
      <c r="F3" s="778"/>
      <c r="G3" s="778"/>
      <c r="H3" s="778"/>
      <c r="I3" s="778"/>
      <c r="J3" s="178"/>
      <c r="K3" s="178"/>
    </row>
    <row r="4" spans="1:11" ht="15.75" customHeight="1">
      <c r="A4" s="398"/>
      <c r="B4" s="398"/>
      <c r="C4" s="398"/>
      <c r="D4" s="398"/>
      <c r="E4" s="398"/>
      <c r="F4" s="398"/>
      <c r="G4" s="398"/>
      <c r="H4" s="398"/>
      <c r="I4" s="408" t="s">
        <v>637</v>
      </c>
      <c r="J4" s="178"/>
      <c r="K4" s="178"/>
    </row>
    <row r="5" spans="1:11" ht="24" customHeight="1">
      <c r="A5" s="398"/>
      <c r="B5" s="398"/>
      <c r="C5" s="409" t="s">
        <v>70</v>
      </c>
      <c r="D5" s="398"/>
      <c r="E5" s="780" t="s">
        <v>722</v>
      </c>
      <c r="F5" s="781"/>
      <c r="G5" s="780"/>
      <c r="H5" s="398"/>
      <c r="I5" s="397" t="s">
        <v>601</v>
      </c>
    </row>
    <row r="6" spans="1:11" ht="19.5">
      <c r="E6" s="398" t="s">
        <v>407</v>
      </c>
      <c r="F6" s="400"/>
      <c r="G6" s="398" t="s">
        <v>407</v>
      </c>
      <c r="I6" s="398" t="s">
        <v>407</v>
      </c>
    </row>
    <row r="7" spans="1:11" ht="19.5" customHeight="1">
      <c r="A7" s="401" t="s">
        <v>223</v>
      </c>
      <c r="I7" s="400"/>
    </row>
    <row r="8" spans="1:11" ht="19.5" customHeight="1">
      <c r="A8" s="410" t="s">
        <v>224</v>
      </c>
      <c r="C8" s="400">
        <v>17</v>
      </c>
      <c r="E8" s="552">
        <f>يادداشتها!F301</f>
        <v>175005286000</v>
      </c>
      <c r="F8" s="400"/>
      <c r="G8" s="552"/>
      <c r="I8" s="491">
        <f>يادداشتها!H301</f>
        <v>91649531188</v>
      </c>
    </row>
    <row r="9" spans="1:11" ht="19.5" customHeight="1">
      <c r="A9" s="410" t="s">
        <v>220</v>
      </c>
      <c r="C9" s="400">
        <v>18</v>
      </c>
      <c r="E9" s="552">
        <f>يادداشتها!F328</f>
        <v>54519819997</v>
      </c>
      <c r="F9" s="400"/>
      <c r="G9" s="552"/>
      <c r="I9" s="492">
        <f>يادداشتها!H328</f>
        <v>43763489998.859444</v>
      </c>
    </row>
    <row r="10" spans="1:11" ht="19.5" customHeight="1">
      <c r="A10" s="410" t="s">
        <v>61</v>
      </c>
      <c r="C10" s="400">
        <v>19</v>
      </c>
      <c r="E10" s="552">
        <f>يادداشتها!F336</f>
        <v>30660000000</v>
      </c>
      <c r="F10" s="400"/>
      <c r="G10" s="552"/>
      <c r="I10" s="493">
        <f>يادداشتها!H336</f>
        <v>0</v>
      </c>
    </row>
    <row r="11" spans="1:11" ht="19.5" customHeight="1">
      <c r="A11" s="410" t="s">
        <v>20</v>
      </c>
      <c r="C11" s="400"/>
      <c r="E11" s="591"/>
      <c r="F11" s="400"/>
      <c r="G11" s="553">
        <f>SUM(E8:E10)</f>
        <v>260185105997</v>
      </c>
      <c r="I11" s="494">
        <f>SUM(I8:I10)</f>
        <v>135413021186.85944</v>
      </c>
      <c r="J11" s="179"/>
      <c r="K11" s="135"/>
    </row>
    <row r="12" spans="1:11" ht="19.5" customHeight="1">
      <c r="A12" s="401" t="s">
        <v>389</v>
      </c>
      <c r="C12" s="400"/>
      <c r="E12" s="135"/>
      <c r="G12" s="135"/>
      <c r="I12" s="135"/>
    </row>
    <row r="13" spans="1:11" ht="19.5" customHeight="1">
      <c r="A13" s="410" t="s">
        <v>235</v>
      </c>
      <c r="C13" s="400">
        <v>20</v>
      </c>
      <c r="E13" s="337">
        <f>-يادداشتها!F340</f>
        <v>-41166368694</v>
      </c>
      <c r="G13" s="135"/>
      <c r="I13" s="338">
        <f>-يادداشتها!H340</f>
        <v>-34630767018</v>
      </c>
    </row>
    <row r="14" spans="1:11" ht="19.5" customHeight="1">
      <c r="A14" s="410" t="s">
        <v>390</v>
      </c>
      <c r="C14" s="400">
        <v>21</v>
      </c>
      <c r="E14" s="337">
        <f>-يادداشتها!F341</f>
        <v>-63953679667</v>
      </c>
      <c r="G14" s="135"/>
      <c r="I14" s="339">
        <f>-يادداشتها!H341</f>
        <v>-51222040682</v>
      </c>
    </row>
    <row r="15" spans="1:11" ht="19.5" customHeight="1">
      <c r="A15" s="410" t="s">
        <v>391</v>
      </c>
      <c r="C15" s="400">
        <v>22</v>
      </c>
      <c r="E15" s="337">
        <f>-يادداشتها!F342</f>
        <v>-3334194640</v>
      </c>
      <c r="G15" s="135"/>
      <c r="I15" s="339">
        <f>-يادداشتها!H342</f>
        <v>-2885370336</v>
      </c>
    </row>
    <row r="16" spans="1:11" ht="19.5" customHeight="1">
      <c r="A16" s="410" t="s">
        <v>392</v>
      </c>
      <c r="C16" s="400">
        <v>23</v>
      </c>
      <c r="E16" s="337">
        <f>-يادداشتها!F343</f>
        <v>-32147845169</v>
      </c>
      <c r="G16" s="135"/>
      <c r="I16" s="339">
        <f>-يادداشتها!H343</f>
        <v>-10318906211</v>
      </c>
    </row>
    <row r="17" spans="1:11" ht="19.5" customHeight="1">
      <c r="A17" s="410" t="s">
        <v>653</v>
      </c>
      <c r="C17" s="400">
        <v>24</v>
      </c>
      <c r="E17" s="340">
        <f>-يادداشتها!F402</f>
        <v>-9425648135</v>
      </c>
      <c r="G17" s="135"/>
      <c r="I17" s="495">
        <f>-يادداشتها!H402</f>
        <v>-9109233883</v>
      </c>
    </row>
    <row r="18" spans="1:11" ht="19.5" customHeight="1">
      <c r="A18" s="410" t="s">
        <v>20</v>
      </c>
      <c r="C18" s="400"/>
      <c r="E18" s="135"/>
      <c r="G18" s="340">
        <f>SUM(E13:E17)</f>
        <v>-150027736305</v>
      </c>
      <c r="I18" s="341">
        <f>SUM(I13:I17)</f>
        <v>-108166318130</v>
      </c>
      <c r="K18" s="179"/>
    </row>
    <row r="19" spans="1:11" ht="19.5" customHeight="1">
      <c r="A19" s="410"/>
      <c r="C19" s="400"/>
      <c r="E19" s="135"/>
      <c r="G19" s="227"/>
      <c r="I19" s="227"/>
    </row>
    <row r="20" spans="1:11" ht="19.5" customHeight="1">
      <c r="A20" s="410" t="s">
        <v>405</v>
      </c>
      <c r="C20" s="400">
        <v>25</v>
      </c>
      <c r="E20" s="552">
        <f>يادداشتها!F416</f>
        <v>78732076442</v>
      </c>
      <c r="G20" s="227"/>
      <c r="I20" s="491">
        <f>يادداشتها!H416</f>
        <v>40344161074</v>
      </c>
    </row>
    <row r="21" spans="1:11" ht="19.5" customHeight="1">
      <c r="A21" s="410" t="s">
        <v>406</v>
      </c>
      <c r="C21" s="400">
        <v>26</v>
      </c>
      <c r="E21" s="340">
        <f>-'درآمد دولت'!C5</f>
        <v>-56206000000</v>
      </c>
      <c r="G21" s="227"/>
      <c r="I21" s="731">
        <v>-45117000000</v>
      </c>
      <c r="J21" s="135"/>
      <c r="K21" s="135"/>
    </row>
    <row r="22" spans="1:11" ht="19.5" customHeight="1">
      <c r="A22" s="410" t="s">
        <v>20</v>
      </c>
      <c r="E22" s="135"/>
      <c r="G22" s="553">
        <f>SUM(E20:E21)</f>
        <v>22526076442</v>
      </c>
      <c r="I22" s="337">
        <f>SUM(I20:I21)</f>
        <v>-4772838926</v>
      </c>
    </row>
    <row r="23" spans="1:11" ht="19.5" customHeight="1" thickBot="1">
      <c r="A23" s="401" t="s">
        <v>66</v>
      </c>
      <c r="E23" s="135"/>
      <c r="G23" s="592">
        <f>G11+G18+G22</f>
        <v>132683446134</v>
      </c>
      <c r="I23" s="732">
        <f>I11+I18+I22</f>
        <v>22473864130.859436</v>
      </c>
    </row>
    <row r="24" spans="1:11" ht="19.5" customHeight="1" thickTop="1">
      <c r="I24" s="398"/>
    </row>
    <row r="25" spans="1:11" ht="19.5" customHeight="1">
      <c r="A25" s="778" t="s">
        <v>67</v>
      </c>
      <c r="B25" s="778"/>
      <c r="C25" s="778"/>
      <c r="D25" s="778"/>
      <c r="E25" s="778"/>
      <c r="F25" s="778"/>
      <c r="G25" s="778"/>
      <c r="H25" s="778"/>
      <c r="I25" s="778"/>
    </row>
    <row r="26" spans="1:11" ht="19.5" customHeight="1">
      <c r="A26" s="401" t="s">
        <v>393</v>
      </c>
      <c r="B26" s="398"/>
      <c r="C26" s="398"/>
      <c r="D26" s="398"/>
      <c r="E26" s="649">
        <f>996533198504</f>
        <v>996533198504</v>
      </c>
      <c r="F26" s="400"/>
      <c r="G26" s="650"/>
      <c r="H26" s="400"/>
      <c r="I26" s="554">
        <f>69261363155-6267448227</f>
        <v>62993914928</v>
      </c>
    </row>
    <row r="27" spans="1:11" ht="19.5" customHeight="1">
      <c r="A27" s="410" t="s">
        <v>394</v>
      </c>
      <c r="B27" s="400"/>
      <c r="C27" s="400">
        <v>28</v>
      </c>
      <c r="D27" s="400"/>
      <c r="E27" s="653">
        <f>يادداشتها!F438</f>
        <v>-3859046098</v>
      </c>
      <c r="F27" s="400"/>
      <c r="G27" s="651"/>
      <c r="H27" s="400"/>
      <c r="I27" s="556">
        <f>-127512857600%+1052501129</f>
        <v>-222627447</v>
      </c>
      <c r="J27" s="227"/>
    </row>
    <row r="28" spans="1:11" ht="19.5" customHeight="1">
      <c r="A28" s="410" t="s">
        <v>404</v>
      </c>
      <c r="B28" s="400"/>
      <c r="C28" s="400"/>
      <c r="D28" s="400"/>
      <c r="E28" s="552"/>
      <c r="F28" s="400"/>
      <c r="G28" s="649">
        <f>SUM(E26:E27)</f>
        <v>992674152406</v>
      </c>
      <c r="H28" s="400"/>
      <c r="I28" s="555">
        <f>SUM(I26:I27)</f>
        <v>62771287481</v>
      </c>
    </row>
    <row r="29" spans="1:11" ht="19.5" customHeight="1">
      <c r="A29" s="410" t="s">
        <v>672</v>
      </c>
      <c r="B29" s="400"/>
      <c r="C29" s="400"/>
      <c r="D29" s="400"/>
      <c r="E29" s="400"/>
      <c r="F29" s="400"/>
      <c r="G29" s="649">
        <v>0</v>
      </c>
      <c r="H29" s="400"/>
      <c r="I29" s="552">
        <f>906073099794+1355901000</f>
        <v>907429000794</v>
      </c>
    </row>
    <row r="30" spans="1:11" ht="19.5" customHeight="1">
      <c r="A30" s="410" t="s">
        <v>66</v>
      </c>
      <c r="B30" s="400"/>
      <c r="C30" s="400"/>
      <c r="D30" s="400"/>
      <c r="E30" s="400"/>
      <c r="F30" s="400"/>
      <c r="G30" s="553">
        <f>G23</f>
        <v>132683446134</v>
      </c>
      <c r="H30" s="400"/>
      <c r="I30" s="557">
        <f>I23</f>
        <v>22473864130.859436</v>
      </c>
      <c r="J30" s="180"/>
    </row>
    <row r="31" spans="1:11" ht="19.5" customHeight="1" thickBot="1">
      <c r="A31" s="401" t="s">
        <v>539</v>
      </c>
      <c r="B31" s="400"/>
      <c r="C31" s="400"/>
      <c r="D31" s="650">
        <v>39953216994</v>
      </c>
      <c r="E31" s="400"/>
      <c r="F31" s="400"/>
      <c r="G31" s="652">
        <f>SUM(G28:G30)</f>
        <v>1125357598540</v>
      </c>
      <c r="H31" s="400"/>
      <c r="I31" s="558">
        <f>I28+I30+I29</f>
        <v>992674152405.85938</v>
      </c>
      <c r="J31" s="227"/>
    </row>
    <row r="32" spans="1:11" ht="19.5" customHeight="1" thickTop="1"/>
    <row r="33" spans="1:22" ht="19.5">
      <c r="A33" s="774" t="s">
        <v>386</v>
      </c>
      <c r="B33" s="774"/>
      <c r="C33" s="774"/>
      <c r="D33" s="774"/>
      <c r="E33" s="774"/>
      <c r="F33" s="774"/>
      <c r="G33" s="774"/>
      <c r="H33" s="774"/>
      <c r="I33" s="774"/>
    </row>
    <row r="34" spans="1:22" s="21" customFormat="1" ht="32.25">
      <c r="A34" s="411" t="s">
        <v>145</v>
      </c>
      <c r="B34" s="411"/>
      <c r="C34" s="411"/>
      <c r="D34" s="411"/>
      <c r="E34" s="411"/>
      <c r="F34" s="412"/>
      <c r="G34" s="407"/>
      <c r="H34" s="413" t="s">
        <v>127</v>
      </c>
      <c r="I34" s="413"/>
      <c r="J34" s="173"/>
      <c r="K34" s="181"/>
      <c r="L34" s="181"/>
      <c r="M34" s="181"/>
    </row>
    <row r="35" spans="1:22" ht="25.5">
      <c r="A35" s="411" t="s">
        <v>128</v>
      </c>
      <c r="B35" s="414"/>
      <c r="C35" s="414"/>
      <c r="D35" s="414"/>
      <c r="E35" s="414"/>
      <c r="F35" s="398"/>
      <c r="G35" s="776" t="s">
        <v>581</v>
      </c>
      <c r="H35" s="776"/>
      <c r="I35" s="776"/>
      <c r="J35" s="181"/>
      <c r="K35" s="181"/>
      <c r="L35" s="181"/>
      <c r="M35" s="181"/>
      <c r="N35" s="174"/>
      <c r="O35" s="174"/>
    </row>
    <row r="36" spans="1:22" ht="33.75" customHeight="1">
      <c r="A36" s="779">
        <v>3</v>
      </c>
      <c r="B36" s="779"/>
      <c r="C36" s="779"/>
      <c r="D36" s="779"/>
      <c r="E36" s="779"/>
      <c r="F36" s="779"/>
      <c r="G36" s="779"/>
      <c r="H36" s="779"/>
      <c r="I36" s="779"/>
      <c r="J36" s="182"/>
      <c r="K36" s="183"/>
      <c r="L36" s="183"/>
      <c r="M36" s="183"/>
      <c r="N36" s="183"/>
      <c r="O36" s="183"/>
    </row>
    <row r="37" spans="1:22">
      <c r="R37" s="137"/>
      <c r="S37" s="137"/>
      <c r="T37" s="137"/>
      <c r="U37" s="137"/>
    </row>
    <row r="39" spans="1:22">
      <c r="S39" s="135"/>
      <c r="T39" s="135"/>
      <c r="U39" s="135"/>
      <c r="V39" s="135"/>
    </row>
  </sheetData>
  <mergeCells count="8">
    <mergeCell ref="A1:I1"/>
    <mergeCell ref="A2:I2"/>
    <mergeCell ref="A3:I3"/>
    <mergeCell ref="G35:I35"/>
    <mergeCell ref="A36:I36"/>
    <mergeCell ref="E5:G5"/>
    <mergeCell ref="A25:I25"/>
    <mergeCell ref="A33:I33"/>
  </mergeCells>
  <dataValidations disablePrompts="1" count="1">
    <dataValidation allowBlank="1" showInputMessage="1" showErrorMessage="1" errorTitle="گوسفند" error="نفم بیشعور مگه جشمات کوره نمی بینی فرموله " sqref="H16:H17" xr:uid="{00000000-0002-0000-0200-000000000000}"/>
  </dataValidations>
  <printOptions horizontalCentered="1"/>
  <pageMargins left="0.23622047244094491" right="0.34" top="0.74803149606299213" bottom="0.41"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4"/>
  <sheetViews>
    <sheetView rightToLeft="1" view="pageBreakPreview" zoomScale="85" zoomScaleSheetLayoutView="85" workbookViewId="0">
      <selection activeCell="I16" sqref="I16"/>
    </sheetView>
  </sheetViews>
  <sheetFormatPr defaultRowHeight="22.5"/>
  <cols>
    <col min="1" max="1" width="49" style="416" customWidth="1"/>
    <col min="2" max="2" width="11.28515625" style="17" customWidth="1"/>
    <col min="3" max="3" width="1.42578125" style="17" customWidth="1"/>
    <col min="4" max="4" width="26.85546875" style="18" customWidth="1"/>
    <col min="5" max="5" width="1.42578125" style="18" customWidth="1"/>
    <col min="6" max="6" width="23.140625" style="18" customWidth="1"/>
    <col min="7" max="7" width="1.42578125" style="18" customWidth="1"/>
    <col min="8" max="8" width="18.28515625" style="18" bestFit="1" customWidth="1"/>
    <col min="9" max="9" width="1.42578125" style="18" customWidth="1"/>
    <col min="10" max="10" width="19.7109375" style="18" bestFit="1" customWidth="1"/>
    <col min="11" max="11" width="9.42578125" style="17" bestFit="1" customWidth="1"/>
    <col min="12" max="12" width="20.42578125" style="128" customWidth="1"/>
    <col min="13" max="13" width="21" style="128" bestFit="1" customWidth="1"/>
    <col min="14" max="16384" width="9.140625" style="17"/>
  </cols>
  <sheetData>
    <row r="1" spans="1:17" s="128" customFormat="1" ht="24" customHeight="1">
      <c r="A1" s="783" t="s">
        <v>960</v>
      </c>
      <c r="B1" s="783"/>
      <c r="C1" s="783"/>
      <c r="D1" s="783"/>
      <c r="E1" s="783"/>
      <c r="F1" s="783"/>
      <c r="G1" s="783"/>
      <c r="H1" s="783"/>
      <c r="I1" s="783"/>
      <c r="J1" s="783"/>
      <c r="K1" s="783"/>
      <c r="L1" s="260"/>
    </row>
    <row r="2" spans="1:17" s="128" customFormat="1" ht="21.75" customHeight="1">
      <c r="A2" s="783" t="s">
        <v>87</v>
      </c>
      <c r="B2" s="783"/>
      <c r="C2" s="783"/>
      <c r="D2" s="783"/>
      <c r="E2" s="783"/>
      <c r="F2" s="783"/>
      <c r="G2" s="783"/>
      <c r="H2" s="783"/>
      <c r="I2" s="783"/>
      <c r="J2" s="783"/>
      <c r="K2" s="783"/>
      <c r="L2" s="260"/>
    </row>
    <row r="3" spans="1:17" s="128" customFormat="1" ht="26.25" customHeight="1">
      <c r="A3" s="783" t="s">
        <v>724</v>
      </c>
      <c r="B3" s="783"/>
      <c r="C3" s="783"/>
      <c r="D3" s="783"/>
      <c r="E3" s="783"/>
      <c r="F3" s="783"/>
      <c r="G3" s="783"/>
      <c r="H3" s="783"/>
      <c r="I3" s="783"/>
      <c r="J3" s="783"/>
      <c r="K3" s="783"/>
      <c r="L3" s="260"/>
    </row>
    <row r="4" spans="1:17" ht="12.75" customHeight="1">
      <c r="A4" s="415"/>
      <c r="B4" s="415"/>
      <c r="C4" s="415"/>
      <c r="D4" s="415"/>
      <c r="E4" s="415"/>
      <c r="F4" s="415"/>
      <c r="G4" s="415"/>
      <c r="H4" s="415"/>
      <c r="I4" s="415"/>
      <c r="J4" s="415"/>
      <c r="K4" s="415"/>
      <c r="L4" s="260"/>
    </row>
    <row r="5" spans="1:17" ht="25.5">
      <c r="B5" s="596"/>
      <c r="C5" s="596"/>
      <c r="D5" s="784" t="s">
        <v>68</v>
      </c>
      <c r="E5" s="784"/>
      <c r="F5" s="784"/>
      <c r="G5" s="597"/>
      <c r="H5" s="598" t="s">
        <v>965</v>
      </c>
      <c r="I5" s="597"/>
      <c r="J5" s="598" t="s">
        <v>69</v>
      </c>
      <c r="K5" s="416"/>
    </row>
    <row r="6" spans="1:17" ht="25.5">
      <c r="B6" s="599" t="s">
        <v>70</v>
      </c>
      <c r="C6" s="596"/>
      <c r="D6" s="600" t="s">
        <v>71</v>
      </c>
      <c r="E6" s="601"/>
      <c r="F6" s="600" t="s">
        <v>72</v>
      </c>
      <c r="G6" s="601"/>
      <c r="H6" s="602" t="s">
        <v>73</v>
      </c>
      <c r="I6" s="601"/>
      <c r="J6" s="602" t="s">
        <v>74</v>
      </c>
      <c r="K6" s="416"/>
    </row>
    <row r="7" spans="1:17">
      <c r="B7" s="416"/>
      <c r="C7" s="416"/>
      <c r="D7" s="603" t="s">
        <v>42</v>
      </c>
      <c r="E7" s="603"/>
      <c r="F7" s="603" t="s">
        <v>42</v>
      </c>
      <c r="G7" s="603"/>
      <c r="H7" s="603" t="s">
        <v>42</v>
      </c>
      <c r="I7" s="603"/>
      <c r="J7" s="603" t="s">
        <v>42</v>
      </c>
      <c r="K7" s="416"/>
      <c r="L7" s="330"/>
    </row>
    <row r="8" spans="1:17" ht="18" customHeight="1">
      <c r="A8" s="417" t="s">
        <v>75</v>
      </c>
      <c r="B8" s="786" t="s">
        <v>506</v>
      </c>
      <c r="C8" s="604"/>
      <c r="D8" s="603"/>
      <c r="E8" s="603"/>
      <c r="F8" s="603"/>
      <c r="G8" s="603"/>
      <c r="H8" s="603"/>
      <c r="I8" s="603"/>
      <c r="J8" s="603"/>
      <c r="K8" s="416"/>
      <c r="L8" s="330"/>
      <c r="M8" s="330"/>
    </row>
    <row r="9" spans="1:17" s="91" customFormat="1" ht="24.75">
      <c r="A9" s="219" t="s">
        <v>76</v>
      </c>
      <c r="B9" s="786"/>
      <c r="C9" s="219"/>
      <c r="D9" s="605">
        <f>' مصوب'!E6+'وجوه مصرف نشده'!H7+'وجوه مصرف نشده'!H9+'سايرمنابع جاری'!D18</f>
        <v>165155772833</v>
      </c>
      <c r="E9" s="605"/>
      <c r="F9" s="605">
        <f>' مصوب'!E6+'وجوه مصرف نشده'!H7+'وجوه مصرف نشده'!H9+'سايرمنابع جاری'!D18+ابلاغي!E6+'سايرمنابع جاری'!E18</f>
        <v>236130058833</v>
      </c>
      <c r="G9" s="605"/>
      <c r="H9" s="605">
        <f>' مصوب'!F6+'وجوه مصرف نشده'!H7+'وجوه مصرف نشده'!H9+ابلاغي!E6+'سايرمنابع جاری'!G18</f>
        <v>206851058833</v>
      </c>
      <c r="I9" s="605"/>
      <c r="J9" s="609">
        <f>H9-F9</f>
        <v>-29279000000</v>
      </c>
      <c r="K9" s="219"/>
      <c r="L9" s="611">
        <f>' مصوب'!E6-' مصوب'!F6</f>
        <v>29279000000</v>
      </c>
      <c r="M9" s="331"/>
      <c r="Q9" s="92"/>
    </row>
    <row r="10" spans="1:17" s="91" customFormat="1" ht="24.75">
      <c r="A10" s="219" t="s">
        <v>77</v>
      </c>
      <c r="B10" s="786"/>
      <c r="C10" s="219"/>
      <c r="D10" s="605">
        <f>' مصوب'!C10+'وجوه مصرف نشده'!C17</f>
        <v>43490149047.040001</v>
      </c>
      <c r="E10" s="605"/>
      <c r="F10" s="605">
        <f>' مصوب'!E10+'وجوه مصرف نشده'!C17</f>
        <v>60896149047.040001</v>
      </c>
      <c r="G10" s="605"/>
      <c r="H10" s="605">
        <f>' مصوب'!J10+'وجوه مصرف نشده'!H17</f>
        <v>50909969044.040001</v>
      </c>
      <c r="I10" s="605"/>
      <c r="J10" s="609">
        <f>H10-F10</f>
        <v>-9986180003</v>
      </c>
      <c r="K10" s="219"/>
      <c r="L10" s="611">
        <f>' مصوب'!E10-' مصوب'!F10</f>
        <v>1686180000</v>
      </c>
      <c r="M10" s="331"/>
    </row>
    <row r="11" spans="1:17" s="91" customFormat="1" ht="24.75">
      <c r="A11" s="219" t="s">
        <v>78</v>
      </c>
      <c r="B11" s="786"/>
      <c r="C11" s="219"/>
      <c r="D11" s="605">
        <f>' مصوب'!C14+'وجوه مصرف نشده'!H19+'وجوه مصرف نشده'!H24</f>
        <v>33071116623</v>
      </c>
      <c r="E11" s="605"/>
      <c r="F11" s="605">
        <f>' مصوب'!E14+'وجوه مصرف نشده'!H19+'وجوه مصرف نشده'!H24+ابلاغي!C15</f>
        <v>45671116623</v>
      </c>
      <c r="G11" s="605"/>
      <c r="H11" s="605">
        <f>' مصوب'!J14+'وجوه مصرف نشده'!H19+'وجوه مصرف نشده'!H24+ابلاغي!C15</f>
        <v>43321116623</v>
      </c>
      <c r="I11" s="605"/>
      <c r="J11" s="609">
        <f>H11-F11</f>
        <v>-2350000000</v>
      </c>
      <c r="K11" s="219"/>
      <c r="L11" s="611">
        <f>' مصوب'!E14-' مصوب'!F14</f>
        <v>10650000000</v>
      </c>
    </row>
    <row r="12" spans="1:17" ht="25.5">
      <c r="A12" s="417" t="s">
        <v>79</v>
      </c>
      <c r="B12" s="332"/>
      <c r="D12" s="607">
        <f>SUM(D9:D11)</f>
        <v>241717038503.04001</v>
      </c>
      <c r="E12" s="608"/>
      <c r="F12" s="607">
        <f>SUM(F9:F11)</f>
        <v>342697324503.03998</v>
      </c>
      <c r="G12" s="608"/>
      <c r="H12" s="607">
        <f>SUM(H9:H11)</f>
        <v>301082144500.04004</v>
      </c>
      <c r="I12" s="608"/>
      <c r="J12" s="610">
        <f>SUM(J9:J11)</f>
        <v>-41615180003</v>
      </c>
      <c r="K12" s="418" t="s">
        <v>398</v>
      </c>
      <c r="L12" s="612">
        <f>' مصوب'!E20-' مصوب'!F20+J12</f>
        <v>-3</v>
      </c>
      <c r="M12" s="332"/>
    </row>
    <row r="13" spans="1:17" ht="9" customHeight="1">
      <c r="D13" s="132"/>
      <c r="E13" s="132"/>
      <c r="F13" s="132"/>
      <c r="G13" s="132"/>
      <c r="H13" s="132"/>
      <c r="I13" s="132"/>
      <c r="J13" s="132"/>
    </row>
    <row r="14" spans="1:17" ht="15" customHeight="1">
      <c r="A14" s="417" t="s">
        <v>80</v>
      </c>
      <c r="B14" s="786" t="s">
        <v>507</v>
      </c>
      <c r="C14" s="129"/>
      <c r="D14" s="133"/>
      <c r="E14" s="133"/>
      <c r="F14" s="133"/>
      <c r="G14" s="133"/>
      <c r="H14" s="133"/>
      <c r="I14" s="133"/>
      <c r="J14" s="133"/>
    </row>
    <row r="15" spans="1:17" s="91" customFormat="1" ht="24.75">
      <c r="A15" s="219" t="s">
        <v>81</v>
      </c>
      <c r="B15" s="786"/>
      <c r="D15" s="605">
        <f>D9</f>
        <v>165155772833</v>
      </c>
      <c r="E15" s="130"/>
      <c r="F15" s="605">
        <f>F9</f>
        <v>236130058833</v>
      </c>
      <c r="G15" s="605"/>
      <c r="H15" s="605">
        <f>' مصوب'!Q6+'وجوه مصرف نشده'!M7+'وجوه مصرف نشده'!M9+ابلاغي!J6+'سايرمنابع جاری'!K18</f>
        <v>121872419199</v>
      </c>
      <c r="I15" s="605"/>
      <c r="J15" s="605">
        <f>F15-H15</f>
        <v>114257639634</v>
      </c>
      <c r="L15" s="333">
        <f>ROUND(J15+J9-يادداشتها!F7,0)</f>
        <v>0</v>
      </c>
      <c r="M15" s="331"/>
    </row>
    <row r="16" spans="1:17" s="91" customFormat="1" ht="24.75">
      <c r="A16" s="219" t="s">
        <v>82</v>
      </c>
      <c r="B16" s="786"/>
      <c r="D16" s="605">
        <f>D10</f>
        <v>43490149047.040001</v>
      </c>
      <c r="E16" s="130"/>
      <c r="F16" s="605">
        <f>F10</f>
        <v>60896149047.040001</v>
      </c>
      <c r="G16" s="130"/>
      <c r="H16" s="605">
        <f>' مصوب'!Q10+'وجوه مصرف نشده'!M17</f>
        <v>37093587201</v>
      </c>
      <c r="I16" s="605"/>
      <c r="J16" s="605">
        <f>F16-H16</f>
        <v>23802561846.040001</v>
      </c>
      <c r="L16" s="333">
        <f>J16+J10-يادداشتها!F8</f>
        <v>4.000091552734375E-2</v>
      </c>
      <c r="M16" s="331"/>
    </row>
    <row r="17" spans="1:13" s="91" customFormat="1" ht="24.75">
      <c r="A17" s="219" t="s">
        <v>83</v>
      </c>
      <c r="B17" s="786"/>
      <c r="D17" s="605">
        <f>D11</f>
        <v>33071116623</v>
      </c>
      <c r="E17" s="130"/>
      <c r="F17" s="605">
        <f>F11</f>
        <v>45671116623</v>
      </c>
      <c r="G17" s="130"/>
      <c r="H17" s="605">
        <f>' مصوب'!Q14+'وجوه مصرف نشده'!M19+'وجوه مصرف نشده'!M24+ابلاغي!J15</f>
        <v>27871116623</v>
      </c>
      <c r="I17" s="605"/>
      <c r="J17" s="605">
        <f>F17-H17</f>
        <v>17800000000</v>
      </c>
      <c r="L17" s="333">
        <f>J17+J11-يادداشتها!F9</f>
        <v>15100000000</v>
      </c>
      <c r="M17" s="331"/>
    </row>
    <row r="18" spans="1:13" ht="28.5" customHeight="1">
      <c r="A18" s="417" t="s">
        <v>84</v>
      </c>
      <c r="D18" s="607">
        <f>SUM(D15:D17)</f>
        <v>241717038503.04001</v>
      </c>
      <c r="E18" s="131"/>
      <c r="F18" s="607">
        <f>SUM(F15:F17)</f>
        <v>342697324503.03998</v>
      </c>
      <c r="G18" s="131"/>
      <c r="H18" s="607">
        <f>SUM(H15:H17)</f>
        <v>186837123023</v>
      </c>
      <c r="I18" s="608"/>
      <c r="J18" s="607">
        <f>SUM(J15:J17)</f>
        <v>155860201480.04001</v>
      </c>
      <c r="L18" s="330"/>
      <c r="M18" s="330"/>
    </row>
    <row r="19" spans="1:13" ht="31.5" customHeight="1" thickBot="1">
      <c r="A19" s="417" t="s">
        <v>85</v>
      </c>
      <c r="D19" s="613">
        <f>D18-D12</f>
        <v>0</v>
      </c>
      <c r="E19" s="608"/>
      <c r="F19" s="613">
        <f>F18-F12</f>
        <v>0</v>
      </c>
      <c r="G19" s="131"/>
      <c r="H19" s="613">
        <f>H12-H18</f>
        <v>114245021477.04004</v>
      </c>
      <c r="I19" s="608"/>
      <c r="J19" s="613">
        <f>J18+J12</f>
        <v>114245021477.04001</v>
      </c>
      <c r="L19" s="333">
        <f>J19-يادداشتها!F7-يادداشتها!F8-يادداشتها!F9</f>
        <v>15100000000.040009</v>
      </c>
      <c r="M19" s="330"/>
    </row>
    <row r="20" spans="1:13" ht="15.75" customHeight="1" thickTop="1">
      <c r="F20" s="334"/>
      <c r="L20" s="330"/>
    </row>
    <row r="21" spans="1:13" ht="27" customHeight="1">
      <c r="A21" s="418" t="s">
        <v>826</v>
      </c>
      <c r="F21" s="334"/>
    </row>
    <row r="22" spans="1:13" s="219" customFormat="1" ht="27">
      <c r="A22" s="785" t="s">
        <v>428</v>
      </c>
      <c r="B22" s="785"/>
      <c r="C22" s="785"/>
      <c r="D22" s="785"/>
      <c r="E22" s="785"/>
      <c r="F22" s="785"/>
      <c r="G22" s="785"/>
      <c r="H22" s="785"/>
      <c r="I22" s="785"/>
      <c r="J22" s="785"/>
    </row>
    <row r="23" spans="1:13" s="416" customFormat="1" ht="20.25" customHeight="1">
      <c r="A23" s="782" t="s">
        <v>108</v>
      </c>
      <c r="B23" s="782"/>
      <c r="D23" s="419"/>
      <c r="E23" s="415"/>
      <c r="F23" s="419"/>
      <c r="G23" s="782" t="s">
        <v>401</v>
      </c>
      <c r="H23" s="782"/>
      <c r="I23" s="415"/>
      <c r="J23" s="415"/>
      <c r="L23" s="418"/>
      <c r="M23" s="418"/>
    </row>
    <row r="24" spans="1:13" s="416" customFormat="1" ht="36" customHeight="1">
      <c r="A24" s="782" t="s">
        <v>128</v>
      </c>
      <c r="B24" s="782"/>
      <c r="D24" s="419"/>
      <c r="E24" s="415"/>
      <c r="F24" s="419"/>
      <c r="G24" s="420"/>
      <c r="H24" s="420" t="s">
        <v>581</v>
      </c>
      <c r="I24" s="415"/>
      <c r="J24" s="415"/>
      <c r="L24" s="418"/>
      <c r="M24" s="418"/>
    </row>
    <row r="25" spans="1:13" s="416" customFormat="1" ht="32.25">
      <c r="B25" s="768">
        <v>4</v>
      </c>
      <c r="C25" s="768"/>
      <c r="D25" s="768"/>
      <c r="E25" s="768"/>
      <c r="F25" s="768"/>
      <c r="G25" s="419"/>
      <c r="H25" s="419"/>
      <c r="I25" s="419"/>
      <c r="J25" s="419"/>
      <c r="L25" s="418"/>
      <c r="M25" s="418"/>
    </row>
    <row r="26" spans="1:13" s="416" customFormat="1">
      <c r="D26" s="419"/>
      <c r="E26" s="419"/>
      <c r="F26" s="419"/>
      <c r="G26" s="419"/>
      <c r="H26" s="419"/>
      <c r="I26" s="419"/>
      <c r="J26" s="419"/>
      <c r="L26" s="418"/>
      <c r="M26" s="418"/>
    </row>
    <row r="31" spans="1:13">
      <c r="L31" s="335"/>
    </row>
    <row r="32" spans="1:13">
      <c r="L32" s="336"/>
    </row>
    <row r="34" spans="12:12">
      <c r="L34" s="128">
        <v>1353589</v>
      </c>
    </row>
  </sheetData>
  <mergeCells count="11">
    <mergeCell ref="A24:B24"/>
    <mergeCell ref="B25:F25"/>
    <mergeCell ref="A1:K1"/>
    <mergeCell ref="A2:K2"/>
    <mergeCell ref="A3:K3"/>
    <mergeCell ref="D5:F5"/>
    <mergeCell ref="A23:B23"/>
    <mergeCell ref="G23:H23"/>
    <mergeCell ref="A22:J22"/>
    <mergeCell ref="B8:B11"/>
    <mergeCell ref="B14:B17"/>
  </mergeCells>
  <printOptions horizontalCentered="1" verticalCentered="1"/>
  <pageMargins left="0.23622047244094491" right="0.35433070866141736" top="0.37" bottom="0.38" header="0.31496062992125984" footer="0.31496062992125984"/>
  <pageSetup paperSize="9" scale="9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79"/>
  <sheetViews>
    <sheetView rightToLeft="1" view="pageBreakPreview" topLeftCell="A26" zoomScale="85" zoomScaleSheetLayoutView="85" zoomScalePageLayoutView="95" workbookViewId="0">
      <selection activeCell="L10" sqref="L10"/>
    </sheetView>
  </sheetViews>
  <sheetFormatPr defaultRowHeight="18" customHeight="1"/>
  <cols>
    <col min="1" max="1" width="8.42578125" style="3" customWidth="1"/>
    <col min="2" max="2" width="14.5703125" style="1" customWidth="1"/>
    <col min="3" max="3" width="48.5703125" style="1" customWidth="1"/>
    <col min="4" max="4" width="6.42578125" style="1" customWidth="1"/>
    <col min="5" max="5" width="24.7109375" style="4" bestFit="1" customWidth="1"/>
    <col min="6" max="6" width="2.42578125" style="4" customWidth="1"/>
    <col min="7" max="7" width="24.5703125" style="5" bestFit="1" customWidth="1"/>
    <col min="8" max="8" width="2.42578125" style="5" customWidth="1"/>
    <col min="9" max="9" width="23.140625" style="5" customWidth="1"/>
    <col min="10" max="10" width="4.7109375" style="1" customWidth="1"/>
    <col min="11" max="11" width="16.42578125" style="1" bestFit="1" customWidth="1"/>
    <col min="12" max="12" width="18.28515625" style="1" bestFit="1" customWidth="1"/>
    <col min="13" max="13" width="15.7109375" style="1" bestFit="1" customWidth="1"/>
    <col min="14" max="14" width="23.42578125" style="1" customWidth="1"/>
    <col min="15" max="16384" width="9.140625" style="1"/>
  </cols>
  <sheetData>
    <row r="1" spans="1:12" s="139" customFormat="1" ht="32.25">
      <c r="A1" s="787" t="s">
        <v>960</v>
      </c>
      <c r="B1" s="787"/>
      <c r="C1" s="787"/>
      <c r="D1" s="787"/>
      <c r="E1" s="787"/>
      <c r="F1" s="787"/>
      <c r="G1" s="787"/>
      <c r="H1" s="787"/>
      <c r="I1" s="787"/>
    </row>
    <row r="2" spans="1:12" s="139" customFormat="1" ht="32.25">
      <c r="A2" s="787" t="s">
        <v>536</v>
      </c>
      <c r="B2" s="787"/>
      <c r="C2" s="787"/>
      <c r="D2" s="787"/>
      <c r="E2" s="787"/>
      <c r="F2" s="787"/>
      <c r="G2" s="787"/>
      <c r="H2" s="787"/>
      <c r="I2" s="787"/>
    </row>
    <row r="3" spans="1:12" s="139" customFormat="1" ht="32.25">
      <c r="A3" s="787" t="s">
        <v>725</v>
      </c>
      <c r="B3" s="787"/>
      <c r="C3" s="787"/>
      <c r="D3" s="787"/>
      <c r="E3" s="787"/>
      <c r="F3" s="787"/>
      <c r="G3" s="787"/>
      <c r="H3" s="787"/>
      <c r="I3" s="787"/>
    </row>
    <row r="4" spans="1:12" s="139" customFormat="1" ht="32.25">
      <c r="A4" s="421"/>
      <c r="B4" s="421"/>
      <c r="C4" s="421"/>
      <c r="D4" s="421"/>
      <c r="E4" s="421"/>
      <c r="F4" s="421"/>
      <c r="G4" s="421"/>
      <c r="H4" s="421"/>
      <c r="I4" s="138"/>
    </row>
    <row r="5" spans="1:12" s="427" customFormat="1" ht="25.5">
      <c r="A5" s="422" t="s">
        <v>523</v>
      </c>
      <c r="B5" s="423" t="s">
        <v>726</v>
      </c>
      <c r="C5" s="423"/>
      <c r="D5" s="423"/>
      <c r="E5" s="424"/>
      <c r="F5" s="424"/>
      <c r="G5" s="425"/>
      <c r="H5" s="426"/>
      <c r="I5" s="426"/>
    </row>
    <row r="6" spans="1:12" s="427" customFormat="1" ht="25.5">
      <c r="A6" s="422" t="s">
        <v>524</v>
      </c>
      <c r="B6" s="423" t="s">
        <v>727</v>
      </c>
      <c r="D6" s="428"/>
      <c r="E6" s="429"/>
      <c r="F6" s="429"/>
      <c r="G6" s="426"/>
      <c r="H6" s="426"/>
      <c r="I6" s="426"/>
    </row>
    <row r="7" spans="1:12" ht="18" customHeight="1">
      <c r="A7" s="617"/>
      <c r="B7" s="617"/>
      <c r="C7" s="617"/>
      <c r="D7" s="793"/>
      <c r="E7" s="794" t="s">
        <v>92</v>
      </c>
      <c r="F7" s="322"/>
      <c r="G7" s="788" t="s">
        <v>106</v>
      </c>
      <c r="H7" s="643"/>
      <c r="I7" s="788" t="s">
        <v>107</v>
      </c>
    </row>
    <row r="8" spans="1:12" s="427" customFormat="1" ht="18" customHeight="1">
      <c r="A8" s="617"/>
      <c r="B8" s="617"/>
      <c r="C8" s="617"/>
      <c r="D8" s="793"/>
      <c r="E8" s="795"/>
      <c r="F8" s="618"/>
      <c r="G8" s="789"/>
      <c r="H8" s="618"/>
      <c r="I8" s="789"/>
    </row>
    <row r="9" spans="1:12" s="427" customFormat="1" ht="18" customHeight="1">
      <c r="A9" s="617"/>
      <c r="B9" s="619" t="s">
        <v>75</v>
      </c>
      <c r="C9" s="617"/>
      <c r="D9" s="620"/>
      <c r="E9" s="614" t="s">
        <v>42</v>
      </c>
      <c r="F9" s="614"/>
      <c r="G9" s="614" t="s">
        <v>42</v>
      </c>
      <c r="H9" s="614"/>
      <c r="I9" s="614" t="s">
        <v>42</v>
      </c>
    </row>
    <row r="10" spans="1:12" s="427" customFormat="1" ht="24.75" customHeight="1">
      <c r="A10" s="425"/>
      <c r="B10" s="380" t="s">
        <v>485</v>
      </c>
      <c r="C10" s="380"/>
      <c r="E10" s="615">
        <f>تفریغ!F9-E13</f>
        <v>195815772833</v>
      </c>
      <c r="F10" s="615"/>
      <c r="G10" s="615">
        <f>تفریغ!H9-'منابع ومصارف'!G13</f>
        <v>166536772833</v>
      </c>
      <c r="H10" s="615"/>
      <c r="I10" s="621">
        <f>G10-E10</f>
        <v>-29279000000</v>
      </c>
      <c r="K10" s="622">
        <f>E10-تفریغ!F9+E13</f>
        <v>0</v>
      </c>
    </row>
    <row r="11" spans="1:12" s="427" customFormat="1" ht="29.25">
      <c r="A11" s="425"/>
      <c r="B11" s="380" t="s">
        <v>89</v>
      </c>
      <c r="C11" s="380"/>
      <c r="D11" s="623"/>
      <c r="E11" s="615">
        <f>تفریغ!F11</f>
        <v>45671116623</v>
      </c>
      <c r="F11" s="615"/>
      <c r="G11" s="615">
        <f>تفریغ!H11</f>
        <v>43321116623</v>
      </c>
      <c r="H11" s="615"/>
      <c r="I11" s="621">
        <f>G11-E11</f>
        <v>-2350000000</v>
      </c>
      <c r="K11" s="622"/>
    </row>
    <row r="12" spans="1:12" s="427" customFormat="1" ht="29.25">
      <c r="A12" s="425"/>
      <c r="B12" s="380" t="s">
        <v>88</v>
      </c>
      <c r="C12" s="380"/>
      <c r="D12" s="623"/>
      <c r="E12" s="615">
        <f>تفریغ!F10</f>
        <v>60896149047.040001</v>
      </c>
      <c r="F12" s="615"/>
      <c r="G12" s="615">
        <f>تفریغ!H10</f>
        <v>50909969044.040001</v>
      </c>
      <c r="H12" s="615"/>
      <c r="I12" s="621">
        <f>G12-E12</f>
        <v>-9986180003</v>
      </c>
      <c r="K12" s="624">
        <f>E12-تفریغ!F10</f>
        <v>0</v>
      </c>
    </row>
    <row r="13" spans="1:12" s="427" customFormat="1" ht="29.25">
      <c r="A13" s="425"/>
      <c r="B13" s="380" t="s">
        <v>486</v>
      </c>
      <c r="C13" s="380"/>
      <c r="D13" s="623"/>
      <c r="E13" s="615">
        <f>ابلاغي!C6</f>
        <v>40314286000</v>
      </c>
      <c r="F13" s="615"/>
      <c r="G13" s="615">
        <f>E13</f>
        <v>40314286000</v>
      </c>
      <c r="H13" s="615"/>
      <c r="I13" s="625">
        <f>G13-E13</f>
        <v>0</v>
      </c>
    </row>
    <row r="14" spans="1:12" s="427" customFormat="1" ht="25.5">
      <c r="A14" s="425"/>
      <c r="B14" s="619" t="s">
        <v>79</v>
      </c>
      <c r="C14" s="617"/>
      <c r="D14" s="617"/>
      <c r="E14" s="616">
        <f>SUM(E10:E13)</f>
        <v>342697324503.03998</v>
      </c>
      <c r="F14" s="626"/>
      <c r="G14" s="616">
        <f>SUM(G10:G13)</f>
        <v>301082144500.04004</v>
      </c>
      <c r="H14" s="626"/>
      <c r="I14" s="627">
        <f>SUM(I10:I13)</f>
        <v>-41615180003</v>
      </c>
      <c r="K14" s="622">
        <f>E14-تفریغ!F12</f>
        <v>0</v>
      </c>
      <c r="L14" s="622">
        <f>G14-تفریغ!H12</f>
        <v>0</v>
      </c>
    </row>
    <row r="15" spans="1:12" ht="18" customHeight="1">
      <c r="A15" s="425"/>
      <c r="B15" s="617"/>
      <c r="C15" s="617"/>
      <c r="D15" s="617"/>
      <c r="E15" s="630"/>
      <c r="F15" s="325"/>
      <c r="G15" s="324"/>
      <c r="H15" s="324"/>
      <c r="I15" s="324"/>
      <c r="J15" s="14"/>
      <c r="K15" s="14"/>
      <c r="L15" s="1" t="s">
        <v>116</v>
      </c>
    </row>
    <row r="16" spans="1:12" s="427" customFormat="1" ht="18" customHeight="1">
      <c r="A16" s="422" t="s">
        <v>525</v>
      </c>
      <c r="B16" s="423" t="s">
        <v>728</v>
      </c>
      <c r="D16" s="428"/>
      <c r="E16" s="630"/>
      <c r="F16" s="631"/>
      <c r="G16" s="630"/>
      <c r="H16" s="630"/>
      <c r="I16" s="630"/>
      <c r="J16" s="632"/>
      <c r="K16" s="632"/>
    </row>
    <row r="17" spans="1:14" s="427" customFormat="1" ht="18" customHeight="1">
      <c r="A17" s="425"/>
      <c r="B17" s="617"/>
      <c r="C17" s="617"/>
      <c r="D17" s="617"/>
      <c r="E17" s="797" t="s">
        <v>92</v>
      </c>
      <c r="F17" s="626"/>
      <c r="G17" s="790" t="s">
        <v>106</v>
      </c>
      <c r="H17" s="626"/>
      <c r="I17" s="790" t="s">
        <v>107</v>
      </c>
    </row>
    <row r="18" spans="1:14" s="427" customFormat="1" ht="18" customHeight="1">
      <c r="A18" s="425"/>
      <c r="B18" s="619" t="s">
        <v>90</v>
      </c>
      <c r="C18" s="617"/>
      <c r="D18" s="617"/>
      <c r="E18" s="798"/>
      <c r="F18" s="415"/>
      <c r="G18" s="791"/>
      <c r="H18" s="415"/>
      <c r="I18" s="791"/>
    </row>
    <row r="19" spans="1:14" ht="18" customHeight="1">
      <c r="A19" s="792" t="s">
        <v>114</v>
      </c>
      <c r="B19" s="792"/>
      <c r="C19" s="792"/>
      <c r="D19" s="623"/>
      <c r="E19" s="637"/>
      <c r="F19" s="326"/>
      <c r="G19" s="326"/>
      <c r="H19" s="326"/>
      <c r="I19" s="326"/>
    </row>
    <row r="20" spans="1:14" ht="18" customHeight="1">
      <c r="A20" s="496"/>
      <c r="B20" s="380" t="s">
        <v>236</v>
      </c>
      <c r="C20" s="376"/>
      <c r="D20" s="623"/>
      <c r="E20" s="615">
        <v>1800000000</v>
      </c>
      <c r="F20" s="323"/>
      <c r="G20" s="615">
        <f>يادداشتها!F349</f>
        <v>564000000</v>
      </c>
      <c r="H20" s="323"/>
      <c r="I20" s="615">
        <f>E20-G20</f>
        <v>1236000000</v>
      </c>
      <c r="K20" s="98"/>
      <c r="M20" s="15"/>
    </row>
    <row r="21" spans="1:14" ht="18" customHeight="1">
      <c r="A21" s="496"/>
      <c r="B21" s="380" t="s">
        <v>237</v>
      </c>
      <c r="C21" s="376"/>
      <c r="D21" s="623"/>
      <c r="E21" s="615"/>
      <c r="F21" s="323"/>
      <c r="G21" s="615"/>
      <c r="H21" s="323"/>
      <c r="I21" s="615"/>
      <c r="K21" s="98"/>
      <c r="M21" s="15"/>
    </row>
    <row r="22" spans="1:14" ht="18" customHeight="1">
      <c r="A22" s="496"/>
      <c r="B22" s="380" t="s">
        <v>238</v>
      </c>
      <c r="C22" s="633"/>
      <c r="D22" s="623"/>
      <c r="E22" s="615">
        <v>25000000000</v>
      </c>
      <c r="F22" s="323"/>
      <c r="G22" s="615">
        <f>يادداشتها!F351</f>
        <v>24515569973</v>
      </c>
      <c r="H22" s="323"/>
      <c r="I22" s="615">
        <f t="shared" ref="I22:I57" si="0">E22-G22</f>
        <v>484430027</v>
      </c>
      <c r="M22" s="15"/>
    </row>
    <row r="23" spans="1:14" ht="18" customHeight="1">
      <c r="A23" s="496"/>
      <c r="B23" s="380" t="s">
        <v>239</v>
      </c>
      <c r="C23" s="633"/>
      <c r="D23" s="623"/>
      <c r="E23" s="615">
        <v>2500000000</v>
      </c>
      <c r="F23" s="323"/>
      <c r="G23" s="615">
        <f>يادداشتها!F352</f>
        <v>2292736520</v>
      </c>
      <c r="H23" s="323"/>
      <c r="I23" s="615">
        <f t="shared" si="0"/>
        <v>207263480</v>
      </c>
      <c r="M23" s="15"/>
    </row>
    <row r="24" spans="1:14" ht="18" customHeight="1">
      <c r="A24" s="496"/>
      <c r="B24" s="380" t="s">
        <v>240</v>
      </c>
      <c r="C24" s="633"/>
      <c r="D24" s="623"/>
      <c r="E24" s="615">
        <v>11000000000</v>
      </c>
      <c r="F24" s="323"/>
      <c r="G24" s="615">
        <f>يادداشتها!F353</f>
        <v>9154706902</v>
      </c>
      <c r="H24" s="323"/>
      <c r="I24" s="615">
        <f t="shared" si="0"/>
        <v>1845293098</v>
      </c>
      <c r="M24" s="15"/>
    </row>
    <row r="25" spans="1:14" ht="18" customHeight="1">
      <c r="A25" s="496"/>
      <c r="B25" s="380" t="s">
        <v>258</v>
      </c>
      <c r="C25" s="633"/>
      <c r="D25" s="623"/>
      <c r="E25" s="615">
        <v>5000000000</v>
      </c>
      <c r="F25" s="323"/>
      <c r="G25" s="615">
        <f>يادداشتها!F354</f>
        <v>4630782797</v>
      </c>
      <c r="H25" s="323"/>
      <c r="I25" s="615">
        <f t="shared" si="0"/>
        <v>369217203</v>
      </c>
      <c r="M25" s="15"/>
      <c r="N25" s="14"/>
    </row>
    <row r="26" spans="1:14" ht="18" customHeight="1">
      <c r="A26" s="496"/>
      <c r="B26" s="380" t="s">
        <v>38</v>
      </c>
      <c r="C26" s="633"/>
      <c r="D26" s="623"/>
      <c r="E26" s="615">
        <v>3500000000</v>
      </c>
      <c r="F26" s="323"/>
      <c r="G26" s="615">
        <f>يادداشتها!F355</f>
        <v>8572502</v>
      </c>
      <c r="H26" s="323"/>
      <c r="I26" s="615">
        <f t="shared" si="0"/>
        <v>3491427498</v>
      </c>
      <c r="M26" s="15"/>
    </row>
    <row r="27" spans="1:14" ht="18" customHeight="1">
      <c r="A27" s="792" t="s">
        <v>115</v>
      </c>
      <c r="B27" s="792"/>
      <c r="C27" s="792"/>
      <c r="D27" s="623"/>
      <c r="E27" s="615"/>
      <c r="F27" s="323"/>
      <c r="G27" s="323"/>
      <c r="H27" s="323"/>
      <c r="I27" s="323"/>
      <c r="L27" s="14"/>
      <c r="M27" s="15"/>
    </row>
    <row r="28" spans="1:14" ht="18" customHeight="1">
      <c r="A28" s="496"/>
      <c r="B28" s="380" t="s">
        <v>344</v>
      </c>
      <c r="C28" s="376"/>
      <c r="D28" s="623"/>
      <c r="E28" s="615">
        <v>3500000000</v>
      </c>
      <c r="F28" s="323"/>
      <c r="G28" s="615">
        <f>يادداشتها!F360</f>
        <v>1386530895</v>
      </c>
      <c r="H28" s="323"/>
      <c r="I28" s="615">
        <f t="shared" si="0"/>
        <v>2113469105</v>
      </c>
      <c r="L28" s="14"/>
      <c r="M28" s="15"/>
    </row>
    <row r="29" spans="1:14" ht="18" customHeight="1">
      <c r="A29" s="496"/>
      <c r="B29" s="380" t="s">
        <v>241</v>
      </c>
      <c r="C29" s="376"/>
      <c r="D29" s="623"/>
      <c r="E29" s="615">
        <v>3000000000</v>
      </c>
      <c r="F29" s="323"/>
      <c r="G29" s="615">
        <f>يادداشتها!F361</f>
        <v>1704573048</v>
      </c>
      <c r="H29" s="323"/>
      <c r="I29" s="615">
        <f t="shared" si="0"/>
        <v>1295426952</v>
      </c>
      <c r="L29" s="14"/>
      <c r="M29" s="15"/>
    </row>
    <row r="30" spans="1:14" ht="18" customHeight="1">
      <c r="A30" s="496"/>
      <c r="B30" s="380" t="s">
        <v>244</v>
      </c>
      <c r="C30" s="376"/>
      <c r="D30" s="623"/>
      <c r="E30" s="615">
        <v>3500000000</v>
      </c>
      <c r="F30" s="323"/>
      <c r="G30" s="615">
        <f>يادداشتها!F362</f>
        <v>774758417</v>
      </c>
      <c r="H30" s="323"/>
      <c r="I30" s="615">
        <f t="shared" si="0"/>
        <v>2725241583</v>
      </c>
      <c r="M30" s="15"/>
    </row>
    <row r="31" spans="1:14" ht="18" customHeight="1">
      <c r="A31" s="496"/>
      <c r="B31" s="380" t="s">
        <v>263</v>
      </c>
      <c r="C31" s="638"/>
      <c r="D31" s="639"/>
      <c r="E31" s="615">
        <v>6000000000</v>
      </c>
      <c r="F31" s="323"/>
      <c r="G31" s="615">
        <f>يادداشتها!F363</f>
        <v>1964594524</v>
      </c>
      <c r="H31" s="323"/>
      <c r="I31" s="615">
        <f t="shared" si="0"/>
        <v>4035405476</v>
      </c>
      <c r="M31" s="15"/>
    </row>
    <row r="32" spans="1:14" ht="18" customHeight="1">
      <c r="A32" s="496"/>
      <c r="B32" s="380" t="s">
        <v>245</v>
      </c>
      <c r="C32" s="376"/>
      <c r="D32" s="623"/>
      <c r="E32" s="615">
        <v>10000000000</v>
      </c>
      <c r="F32" s="323"/>
      <c r="G32" s="615">
        <f>يادداشتها!F364</f>
        <v>7820828061</v>
      </c>
      <c r="H32" s="323"/>
      <c r="I32" s="615">
        <f t="shared" si="0"/>
        <v>2179171939</v>
      </c>
      <c r="M32" s="15"/>
    </row>
    <row r="33" spans="1:13" ht="18" customHeight="1">
      <c r="A33" s="496"/>
      <c r="B33" s="380" t="s">
        <v>246</v>
      </c>
      <c r="C33" s="376"/>
      <c r="D33" s="623"/>
      <c r="E33" s="615">
        <v>8500000000</v>
      </c>
      <c r="F33" s="323"/>
      <c r="G33" s="615">
        <f>يادداشتها!F365</f>
        <v>6838659807</v>
      </c>
      <c r="H33" s="323"/>
      <c r="I33" s="615">
        <f t="shared" si="0"/>
        <v>1661340193</v>
      </c>
      <c r="M33" s="15"/>
    </row>
    <row r="34" spans="1:13" ht="18" customHeight="1">
      <c r="A34" s="496"/>
      <c r="B34" s="380" t="s">
        <v>247</v>
      </c>
      <c r="C34" s="376"/>
      <c r="D34" s="623"/>
      <c r="E34" s="615">
        <v>4200000000</v>
      </c>
      <c r="F34" s="323"/>
      <c r="G34" s="615">
        <f>يادداشتها!F366</f>
        <v>2524881752</v>
      </c>
      <c r="H34" s="323"/>
      <c r="I34" s="615">
        <f t="shared" si="0"/>
        <v>1675118248</v>
      </c>
      <c r="M34" s="15"/>
    </row>
    <row r="35" spans="1:13" ht="18" customHeight="1">
      <c r="A35" s="496"/>
      <c r="B35" s="380" t="s">
        <v>362</v>
      </c>
      <c r="C35" s="376"/>
      <c r="D35" s="623"/>
      <c r="E35" s="615">
        <v>13000000000</v>
      </c>
      <c r="F35" s="323"/>
      <c r="G35" s="615">
        <f>يادداشتها!F367</f>
        <v>6467000000</v>
      </c>
      <c r="H35" s="323"/>
      <c r="I35" s="615">
        <f t="shared" si="0"/>
        <v>6533000000</v>
      </c>
      <c r="M35" s="15"/>
    </row>
    <row r="36" spans="1:13" ht="18" customHeight="1">
      <c r="A36" s="496"/>
      <c r="B36" s="380" t="s">
        <v>363</v>
      </c>
      <c r="C36" s="376"/>
      <c r="D36" s="623"/>
      <c r="E36" s="615">
        <v>4000000000</v>
      </c>
      <c r="F36" s="323"/>
      <c r="G36" s="615">
        <f>يادداشتها!F368</f>
        <v>2888538474</v>
      </c>
      <c r="H36" s="323"/>
      <c r="I36" s="615">
        <f t="shared" si="0"/>
        <v>1111461526</v>
      </c>
      <c r="M36" s="15"/>
    </row>
    <row r="37" spans="1:13" ht="18" customHeight="1">
      <c r="A37" s="496"/>
      <c r="B37" s="380" t="s">
        <v>249</v>
      </c>
      <c r="C37" s="376"/>
      <c r="D37" s="623"/>
      <c r="E37" s="615">
        <v>4000000000</v>
      </c>
      <c r="F37" s="323"/>
      <c r="G37" s="615">
        <f>يادداشتها!F369</f>
        <v>3875018939</v>
      </c>
      <c r="H37" s="323"/>
      <c r="I37" s="615">
        <f t="shared" si="0"/>
        <v>124981061</v>
      </c>
      <c r="M37" s="15"/>
    </row>
    <row r="38" spans="1:13" ht="18" customHeight="1">
      <c r="A38" s="496"/>
      <c r="B38" s="380" t="s">
        <v>346</v>
      </c>
      <c r="C38" s="376"/>
      <c r="D38" s="623"/>
      <c r="E38" s="615">
        <v>1200000000</v>
      </c>
      <c r="F38" s="323"/>
      <c r="G38" s="615">
        <f>يادداشتها!F370</f>
        <v>575195729</v>
      </c>
      <c r="H38" s="323"/>
      <c r="I38" s="615">
        <f t="shared" si="0"/>
        <v>624804271</v>
      </c>
      <c r="M38" s="15"/>
    </row>
    <row r="39" spans="1:13" ht="18" customHeight="1">
      <c r="A39" s="496"/>
      <c r="B39" s="380" t="s">
        <v>251</v>
      </c>
      <c r="C39" s="376"/>
      <c r="D39" s="623"/>
      <c r="E39" s="615">
        <v>19000000000</v>
      </c>
      <c r="F39" s="323"/>
      <c r="G39" s="615">
        <f>يادداشتها!F371</f>
        <v>8207818092</v>
      </c>
      <c r="H39" s="323"/>
      <c r="I39" s="615">
        <f t="shared" si="0"/>
        <v>10792181908</v>
      </c>
      <c r="M39" s="15"/>
    </row>
    <row r="40" spans="1:13" ht="18" customHeight="1">
      <c r="A40" s="496"/>
      <c r="B40" s="380" t="s">
        <v>252</v>
      </c>
      <c r="C40" s="376"/>
      <c r="D40" s="623"/>
      <c r="E40" s="615">
        <v>350000000</v>
      </c>
      <c r="F40" s="323"/>
      <c r="G40" s="615">
        <f>يادداشتها!F372</f>
        <v>197247915</v>
      </c>
      <c r="H40" s="323"/>
      <c r="I40" s="615">
        <f t="shared" si="0"/>
        <v>152752085</v>
      </c>
      <c r="M40" s="15"/>
    </row>
    <row r="41" spans="1:13" ht="18" customHeight="1">
      <c r="A41" s="496"/>
      <c r="B41" s="380" t="s">
        <v>345</v>
      </c>
      <c r="C41" s="376"/>
      <c r="D41" s="623"/>
      <c r="E41" s="615">
        <v>11546000000</v>
      </c>
      <c r="F41" s="323"/>
      <c r="G41" s="615">
        <f>يادداشتها!F373</f>
        <v>9012591466</v>
      </c>
      <c r="H41" s="323"/>
      <c r="I41" s="615">
        <f t="shared" si="0"/>
        <v>2533408534</v>
      </c>
      <c r="M41" s="15"/>
    </row>
    <row r="42" spans="1:13" ht="18" customHeight="1">
      <c r="A42" s="496"/>
      <c r="B42" s="634" t="s">
        <v>807</v>
      </c>
      <c r="C42" s="376"/>
      <c r="D42" s="623"/>
      <c r="E42" s="615">
        <v>4500000000</v>
      </c>
      <c r="F42" s="323"/>
      <c r="G42" s="615">
        <f>يادداشتها!F374</f>
        <v>3426823778</v>
      </c>
      <c r="H42" s="323"/>
      <c r="I42" s="615">
        <f t="shared" si="0"/>
        <v>1073176222</v>
      </c>
      <c r="M42" s="15"/>
    </row>
    <row r="43" spans="1:13" ht="18" customHeight="1">
      <c r="A43" s="496"/>
      <c r="B43" s="380" t="s">
        <v>342</v>
      </c>
      <c r="C43" s="376"/>
      <c r="D43" s="623"/>
      <c r="E43" s="615">
        <v>1450000000</v>
      </c>
      <c r="F43" s="323"/>
      <c r="G43" s="615">
        <f>يادداشتها!F375</f>
        <v>198650000</v>
      </c>
      <c r="H43" s="323"/>
      <c r="I43" s="615">
        <f t="shared" si="0"/>
        <v>1251350000</v>
      </c>
      <c r="M43" s="15"/>
    </row>
    <row r="44" spans="1:13" ht="18" customHeight="1">
      <c r="A44" s="496"/>
      <c r="B44" s="380" t="s">
        <v>364</v>
      </c>
      <c r="C44" s="376"/>
      <c r="D44" s="623"/>
      <c r="E44" s="615">
        <v>15000000000</v>
      </c>
      <c r="F44" s="323"/>
      <c r="G44" s="615">
        <f>يادداشتها!F376</f>
        <v>4863112730</v>
      </c>
      <c r="H44" s="323"/>
      <c r="I44" s="615">
        <f t="shared" si="0"/>
        <v>10136887270</v>
      </c>
      <c r="M44" s="15"/>
    </row>
    <row r="45" spans="1:13" ht="18" customHeight="1">
      <c r="A45" s="376"/>
      <c r="B45" s="380" t="s">
        <v>262</v>
      </c>
      <c r="C45" s="376"/>
      <c r="D45" s="623"/>
      <c r="E45" s="615">
        <v>3500000000</v>
      </c>
      <c r="F45" s="323"/>
      <c r="G45" s="615">
        <f>يادداشتها!F390</f>
        <v>1290348400</v>
      </c>
      <c r="H45" s="323"/>
      <c r="I45" s="615">
        <f t="shared" si="0"/>
        <v>2209651600</v>
      </c>
      <c r="M45" s="15"/>
    </row>
    <row r="46" spans="1:13" ht="18" customHeight="1">
      <c r="A46" s="376"/>
      <c r="B46" s="383" t="str">
        <f>يادداشتها!B392</f>
        <v>قرارداد های پژوهشی سه جانبه</v>
      </c>
      <c r="C46" s="376"/>
      <c r="D46" s="623"/>
      <c r="E46" s="615">
        <f>56000000000-5019000000</f>
        <v>50981000000</v>
      </c>
      <c r="F46" s="323"/>
      <c r="G46" s="615">
        <f>يادداشتها!F392</f>
        <v>26633777678</v>
      </c>
      <c r="H46" s="323"/>
      <c r="I46" s="615">
        <f t="shared" si="0"/>
        <v>24347222322</v>
      </c>
      <c r="M46" s="15"/>
    </row>
    <row r="47" spans="1:13" ht="18" customHeight="1">
      <c r="A47" s="376"/>
      <c r="B47" s="640" t="s">
        <v>828</v>
      </c>
      <c r="C47" s="376"/>
      <c r="D47" s="623"/>
      <c r="E47" s="615">
        <f>52000000000+5019000000</f>
        <v>57019000000</v>
      </c>
      <c r="F47" s="323"/>
      <c r="G47" s="615">
        <f>' مصوب'!L20+2549000000</f>
        <v>14255881683</v>
      </c>
      <c r="H47" s="323"/>
      <c r="I47" s="615">
        <f t="shared" si="0"/>
        <v>42763118317</v>
      </c>
      <c r="K47" s="98"/>
      <c r="L47" s="98"/>
      <c r="M47" s="15"/>
    </row>
    <row r="48" spans="1:13" ht="18" customHeight="1">
      <c r="A48" s="376"/>
      <c r="B48" s="634" t="s">
        <v>626</v>
      </c>
      <c r="C48" s="376"/>
      <c r="D48" s="623"/>
      <c r="E48" s="615">
        <v>7000000000</v>
      </c>
      <c r="F48" s="323"/>
      <c r="G48" s="615">
        <f>يادداشتها!F393</f>
        <v>3317729591</v>
      </c>
      <c r="H48" s="323"/>
      <c r="I48" s="615">
        <f t="shared" si="0"/>
        <v>3682270409</v>
      </c>
      <c r="M48" s="15"/>
    </row>
    <row r="49" spans="1:13" ht="18" customHeight="1">
      <c r="A49" s="376"/>
      <c r="B49" s="380" t="s">
        <v>266</v>
      </c>
      <c r="C49" s="376"/>
      <c r="D49" s="623"/>
      <c r="E49" s="615">
        <f>1940000000-637558874</f>
        <v>1302441126</v>
      </c>
      <c r="F49" s="323"/>
      <c r="G49" s="615">
        <f>يادداشتها!F391</f>
        <v>905989500</v>
      </c>
      <c r="H49" s="323"/>
      <c r="I49" s="615">
        <f t="shared" si="0"/>
        <v>396451626</v>
      </c>
      <c r="M49" s="15"/>
    </row>
    <row r="50" spans="1:13" ht="18" customHeight="1">
      <c r="A50" s="496"/>
      <c r="B50" s="380" t="s">
        <v>268</v>
      </c>
      <c r="C50" s="376"/>
      <c r="D50" s="623"/>
      <c r="E50" s="615">
        <v>150000000</v>
      </c>
      <c r="F50" s="323"/>
      <c r="G50" s="615">
        <f>يادداشتها!F377</f>
        <v>148000000</v>
      </c>
      <c r="H50" s="323"/>
      <c r="I50" s="615">
        <f t="shared" si="0"/>
        <v>2000000</v>
      </c>
      <c r="L50" s="14"/>
      <c r="M50" s="15"/>
    </row>
    <row r="51" spans="1:13" ht="18" customHeight="1">
      <c r="A51" s="496"/>
      <c r="B51" s="380" t="s">
        <v>250</v>
      </c>
      <c r="C51" s="376"/>
      <c r="D51" s="623"/>
      <c r="E51" s="615">
        <v>4000000000</v>
      </c>
      <c r="F51" s="323"/>
      <c r="G51" s="615">
        <f>يادداشتها!F378</f>
        <v>1078856040</v>
      </c>
      <c r="H51" s="323"/>
      <c r="I51" s="615">
        <f t="shared" si="0"/>
        <v>2921143960</v>
      </c>
      <c r="L51" s="14"/>
      <c r="M51" s="15"/>
    </row>
    <row r="52" spans="1:13" ht="18" customHeight="1">
      <c r="A52" s="792" t="s">
        <v>396</v>
      </c>
      <c r="B52" s="792"/>
      <c r="C52" s="792"/>
      <c r="D52" s="623"/>
      <c r="E52" s="615"/>
      <c r="F52" s="323"/>
      <c r="G52" s="615"/>
      <c r="H52" s="323"/>
      <c r="I52" s="615"/>
      <c r="L52" s="14"/>
      <c r="M52" s="15"/>
    </row>
    <row r="53" spans="1:13" ht="18" customHeight="1">
      <c r="A53" s="376"/>
      <c r="B53" s="796" t="s">
        <v>347</v>
      </c>
      <c r="C53" s="796"/>
      <c r="D53" s="623"/>
      <c r="E53" s="615">
        <v>4000000000</v>
      </c>
      <c r="F53" s="323"/>
      <c r="G53" s="615">
        <f>يادداشتها!F384</f>
        <v>3334194640</v>
      </c>
      <c r="H53" s="323"/>
      <c r="I53" s="615">
        <f t="shared" si="0"/>
        <v>665805360</v>
      </c>
      <c r="L53" s="14"/>
      <c r="M53" s="15"/>
    </row>
    <row r="54" spans="1:13" ht="18" customHeight="1">
      <c r="A54" s="792" t="s">
        <v>493</v>
      </c>
      <c r="B54" s="792"/>
      <c r="C54" s="792"/>
      <c r="D54" s="623"/>
      <c r="E54" s="615"/>
      <c r="F54" s="323"/>
      <c r="G54" s="615"/>
      <c r="H54" s="323"/>
      <c r="I54" s="615"/>
      <c r="L54" s="14"/>
      <c r="M54" s="15"/>
    </row>
    <row r="55" spans="1:13" ht="18" customHeight="1">
      <c r="A55" s="376"/>
      <c r="B55" s="380" t="s">
        <v>490</v>
      </c>
      <c r="C55" s="496"/>
      <c r="D55" s="623"/>
      <c r="E55" s="615">
        <v>4500000000</v>
      </c>
      <c r="F55" s="323"/>
      <c r="G55" s="615">
        <f>'دارایی ثابت مشهود'!G10+'دارایی ثابت مشهود'!F10+'دارایی ثابت مشهود'!F12</f>
        <v>2710242500</v>
      </c>
      <c r="H55" s="323"/>
      <c r="I55" s="615">
        <f t="shared" si="0"/>
        <v>1789757500</v>
      </c>
      <c r="L55" s="14"/>
      <c r="M55" s="15"/>
    </row>
    <row r="56" spans="1:13" ht="18" customHeight="1">
      <c r="A56" s="376"/>
      <c r="B56" s="380" t="s">
        <v>829</v>
      </c>
      <c r="C56" s="496"/>
      <c r="D56" s="623"/>
      <c r="E56" s="615">
        <f>50000000000-4500000000-1001116623</f>
        <v>44498883377</v>
      </c>
      <c r="F56" s="323"/>
      <c r="G56" s="615">
        <f>'دارایی ثابت مشهود'!G15-3052823592-2549000000-1001116623-1+1355901000</f>
        <v>25104682719</v>
      </c>
      <c r="H56" s="323"/>
      <c r="I56" s="615">
        <f t="shared" si="0"/>
        <v>19394200658</v>
      </c>
      <c r="L56" s="14"/>
      <c r="M56" s="15"/>
    </row>
    <row r="57" spans="1:13" ht="18" customHeight="1">
      <c r="A57" s="376"/>
      <c r="B57" s="380" t="s">
        <v>685</v>
      </c>
      <c r="C57" s="496"/>
      <c r="D57" s="623"/>
      <c r="E57" s="615">
        <v>4200000000</v>
      </c>
      <c r="F57" s="323"/>
      <c r="G57" s="615">
        <f>'دارایی نامشهود'!G11</f>
        <v>4164227951</v>
      </c>
      <c r="H57" s="323"/>
      <c r="I57" s="615">
        <f t="shared" si="0"/>
        <v>35772049</v>
      </c>
      <c r="L57" s="14"/>
      <c r="M57" s="15"/>
    </row>
    <row r="58" spans="1:13" ht="23.25" customHeight="1">
      <c r="A58" s="425"/>
      <c r="B58" s="619" t="s">
        <v>91</v>
      </c>
      <c r="C58" s="617"/>
      <c r="D58" s="617"/>
      <c r="E58" s="616">
        <f>SUM(E20:E57)</f>
        <v>342697324503</v>
      </c>
      <c r="F58" s="327"/>
      <c r="G58" s="616">
        <f>SUM(G20:G57)</f>
        <v>186837123023</v>
      </c>
      <c r="H58" s="328"/>
      <c r="I58" s="673">
        <f>SUM(I20:I57)</f>
        <v>155860201480</v>
      </c>
      <c r="K58" s="15">
        <f>E58-تفریغ!F18</f>
        <v>-3.997802734375E-2</v>
      </c>
      <c r="L58" s="99"/>
      <c r="M58" s="15"/>
    </row>
    <row r="59" spans="1:13" ht="30" thickBot="1">
      <c r="A59" s="641"/>
      <c r="B59" s="619" t="s">
        <v>85</v>
      </c>
      <c r="C59" s="428"/>
      <c r="D59" s="428"/>
      <c r="E59" s="642">
        <f>ROUND(E14-E58,0)</f>
        <v>0</v>
      </c>
      <c r="F59" s="329"/>
      <c r="G59" s="642">
        <f>G14-G58</f>
        <v>114245021477.04004</v>
      </c>
      <c r="H59" s="329"/>
      <c r="I59" s="642">
        <f>I14+I58</f>
        <v>114245021477</v>
      </c>
      <c r="K59" s="100">
        <f>I59-تفریغ!J19</f>
        <v>-4.0008544921875E-2</v>
      </c>
      <c r="L59" s="101"/>
    </row>
    <row r="60" spans="1:13" ht="18" customHeight="1" thickTop="1">
      <c r="A60" s="1"/>
      <c r="B60" s="16"/>
      <c r="C60" s="17"/>
      <c r="D60" s="17"/>
      <c r="E60" s="14"/>
      <c r="F60" s="18"/>
      <c r="G60" s="14">
        <f>G59-تفریغ!H19</f>
        <v>0</v>
      </c>
      <c r="H60" s="14"/>
      <c r="I60" s="14"/>
      <c r="J60" s="14"/>
      <c r="K60" s="14"/>
      <c r="L60" s="102"/>
    </row>
    <row r="61" spans="1:13" ht="18" customHeight="1">
      <c r="A61" s="1"/>
      <c r="B61" s="2"/>
      <c r="C61" s="2"/>
      <c r="D61" s="2"/>
      <c r="E61" s="636"/>
    </row>
    <row r="62" spans="1:13" ht="18" customHeight="1">
      <c r="A62" s="1"/>
      <c r="B62" s="2"/>
      <c r="C62" s="2"/>
      <c r="D62" s="2"/>
      <c r="G62" s="635"/>
    </row>
    <row r="63" spans="1:13" ht="18" customHeight="1">
      <c r="A63" s="1"/>
      <c r="B63" s="2"/>
      <c r="C63" s="2"/>
      <c r="D63" s="2"/>
      <c r="G63" s="635">
        <f>G58-تفریغ!H18</f>
        <v>0</v>
      </c>
    </row>
    <row r="64" spans="1:13" ht="18" customHeight="1">
      <c r="A64" s="1"/>
      <c r="B64" s="2"/>
      <c r="C64" s="2"/>
      <c r="D64" s="2"/>
    </row>
    <row r="65" spans="1:4" ht="18" customHeight="1">
      <c r="A65" s="1"/>
      <c r="B65" s="2"/>
      <c r="C65" s="2"/>
      <c r="D65" s="2"/>
    </row>
    <row r="66" spans="1:4" ht="18" customHeight="1">
      <c r="A66" s="1"/>
      <c r="B66" s="2"/>
      <c r="C66" s="2"/>
      <c r="D66" s="2"/>
    </row>
    <row r="67" spans="1:4" ht="18" customHeight="1">
      <c r="A67" s="1"/>
      <c r="B67" s="2"/>
      <c r="C67" s="2"/>
      <c r="D67" s="2"/>
    </row>
    <row r="68" spans="1:4" ht="18" customHeight="1">
      <c r="A68" s="1"/>
      <c r="B68" s="2"/>
      <c r="C68" s="2"/>
      <c r="D68" s="2"/>
    </row>
    <row r="69" spans="1:4" ht="18" customHeight="1">
      <c r="A69" s="1"/>
      <c r="B69" s="2"/>
      <c r="C69" s="2"/>
      <c r="D69" s="2"/>
    </row>
    <row r="70" spans="1:4" ht="18" customHeight="1">
      <c r="A70" s="1"/>
      <c r="B70" s="2"/>
      <c r="C70" s="2"/>
      <c r="D70" s="2"/>
    </row>
    <row r="71" spans="1:4" ht="18" customHeight="1">
      <c r="A71" s="1"/>
      <c r="B71" s="2"/>
      <c r="C71" s="2"/>
      <c r="D71" s="2"/>
    </row>
    <row r="72" spans="1:4" ht="18" customHeight="1">
      <c r="A72" s="1"/>
      <c r="B72" s="2"/>
      <c r="C72" s="2"/>
      <c r="D72" s="2"/>
    </row>
    <row r="73" spans="1:4" ht="18" customHeight="1">
      <c r="A73" s="1"/>
      <c r="B73" s="2"/>
      <c r="C73" s="2"/>
      <c r="D73" s="2"/>
    </row>
    <row r="74" spans="1:4" ht="18" customHeight="1">
      <c r="A74" s="1"/>
      <c r="B74" s="2"/>
      <c r="C74" s="2"/>
      <c r="D74" s="2"/>
    </row>
    <row r="75" spans="1:4" ht="18" customHeight="1">
      <c r="A75" s="1"/>
      <c r="B75" s="6"/>
      <c r="C75" s="6"/>
      <c r="D75" s="6"/>
    </row>
    <row r="76" spans="1:4" ht="18" customHeight="1">
      <c r="A76" s="1"/>
      <c r="B76" s="6"/>
      <c r="C76" s="6"/>
      <c r="D76" s="6"/>
    </row>
    <row r="77" spans="1:4" ht="18" customHeight="1">
      <c r="A77" s="1"/>
      <c r="B77" s="6"/>
      <c r="C77" s="6"/>
      <c r="D77" s="6"/>
    </row>
    <row r="78" spans="1:4" ht="18" customHeight="1">
      <c r="A78" s="1"/>
      <c r="B78" s="6"/>
      <c r="C78" s="6"/>
      <c r="D78" s="6"/>
    </row>
    <row r="79" spans="1:4" ht="18" customHeight="1">
      <c r="A79" s="1"/>
      <c r="B79" s="6"/>
      <c r="C79" s="6"/>
      <c r="D79" s="6"/>
    </row>
  </sheetData>
  <mergeCells count="15">
    <mergeCell ref="A54:C54"/>
    <mergeCell ref="G17:G18"/>
    <mergeCell ref="D7:D8"/>
    <mergeCell ref="E7:E8"/>
    <mergeCell ref="G7:G8"/>
    <mergeCell ref="B53:C53"/>
    <mergeCell ref="E17:E18"/>
    <mergeCell ref="A52:C52"/>
    <mergeCell ref="A19:C19"/>
    <mergeCell ref="A27:C27"/>
    <mergeCell ref="A1:I1"/>
    <mergeCell ref="A2:I2"/>
    <mergeCell ref="I7:I8"/>
    <mergeCell ref="I17:I18"/>
    <mergeCell ref="A3:I3"/>
  </mergeCells>
  <printOptions horizontalCentered="1"/>
  <pageMargins left="0.23622047244094491" right="0.23622047244094491" top="0.35433070866141736" bottom="0.55118110236220474" header="0.31496062992125984" footer="0.15748031496062992"/>
  <pageSetup paperSize="9" scale="65" firstPageNumber="19" orientation="portrait" useFirstPageNumber="1" r:id="rId1"/>
  <headerFooter scaleWithDoc="0" alignWithMargins="0">
    <oddHeader xml:space="preserve">&amp;C&amp;"B Titr,Bold"&amp;12&amp;U
</oddHeader>
    <oddFooter>&amp;C&amp;"B Titr,Bold"&amp;12 &amp;16 &amp;15 30</oddFooter>
    <evenFooter>&amp;C28</even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90"/>
  <sheetViews>
    <sheetView rightToLeft="1" view="pageBreakPreview" zoomScaleNormal="85" zoomScaleSheetLayoutView="100" workbookViewId="0">
      <selection activeCell="E46" sqref="E46"/>
    </sheetView>
  </sheetViews>
  <sheetFormatPr defaultColWidth="9.140625" defaultRowHeight="21.75"/>
  <cols>
    <col min="1" max="1" width="7.7109375" style="695" customWidth="1"/>
    <col min="2" max="2" width="10" style="675" customWidth="1"/>
    <col min="3" max="3" width="40.7109375" style="675" bestFit="1" customWidth="1"/>
    <col min="4" max="4" width="18" style="675" customWidth="1"/>
    <col min="5" max="5" width="22.85546875" style="636" customWidth="1"/>
    <col min="6" max="6" width="2.42578125" style="636" customWidth="1"/>
    <col min="7" max="7" width="2.42578125" style="635" customWidth="1"/>
    <col min="8" max="8" width="21.5703125" style="635" customWidth="1"/>
    <col min="9" max="9" width="13.85546875" style="675" bestFit="1" customWidth="1"/>
    <col min="10" max="10" width="23.42578125" style="675" customWidth="1"/>
    <col min="11" max="16384" width="9.140625" style="675"/>
  </cols>
  <sheetData>
    <row r="1" spans="1:9" s="139" customFormat="1" ht="32.25">
      <c r="A1" s="787" t="s">
        <v>960</v>
      </c>
      <c r="B1" s="787"/>
      <c r="C1" s="787"/>
      <c r="D1" s="787"/>
      <c r="E1" s="787"/>
      <c r="F1" s="697"/>
      <c r="G1" s="697"/>
      <c r="H1" s="697"/>
      <c r="I1" s="697"/>
    </row>
    <row r="2" spans="1:9" s="139" customFormat="1" ht="32.25">
      <c r="A2" s="787" t="s">
        <v>536</v>
      </c>
      <c r="B2" s="787"/>
      <c r="C2" s="787"/>
      <c r="D2" s="787"/>
      <c r="E2" s="787"/>
      <c r="F2" s="697"/>
      <c r="G2" s="697"/>
      <c r="H2" s="697"/>
      <c r="I2" s="697"/>
    </row>
    <row r="3" spans="1:9" s="139" customFormat="1" ht="32.25">
      <c r="A3" s="787" t="s">
        <v>725</v>
      </c>
      <c r="B3" s="787"/>
      <c r="C3" s="787"/>
      <c r="D3" s="787"/>
      <c r="E3" s="787"/>
      <c r="F3" s="697"/>
      <c r="G3" s="697"/>
      <c r="H3" s="697"/>
      <c r="I3" s="697"/>
    </row>
    <row r="4" spans="1:9" ht="30" customHeight="1">
      <c r="A4" s="641" t="s">
        <v>964</v>
      </c>
      <c r="B4" s="799" t="s">
        <v>868</v>
      </c>
      <c r="C4" s="799"/>
      <c r="D4" s="799"/>
      <c r="E4" s="799"/>
      <c r="F4" s="676"/>
      <c r="G4" s="676"/>
      <c r="H4" s="676"/>
    </row>
    <row r="5" spans="1:9" ht="41.25" customHeight="1">
      <c r="A5" s="641"/>
      <c r="B5" s="799"/>
      <c r="C5" s="799"/>
      <c r="D5" s="799"/>
      <c r="E5" s="799"/>
      <c r="F5" s="676"/>
      <c r="G5" s="676"/>
      <c r="H5" s="676"/>
    </row>
    <row r="6" spans="1:9" ht="21.6" customHeight="1">
      <c r="A6" s="641"/>
      <c r="B6" s="674"/>
      <c r="C6" s="674"/>
      <c r="D6" s="677" t="s">
        <v>869</v>
      </c>
      <c r="E6" s="727">
        <v>1398</v>
      </c>
      <c r="F6" s="679"/>
      <c r="G6" s="675"/>
      <c r="H6" s="675"/>
    </row>
    <row r="7" spans="1:9" ht="21.6" customHeight="1">
      <c r="A7" s="641"/>
      <c r="B7" s="680"/>
      <c r="C7" s="680"/>
      <c r="D7" s="678"/>
      <c r="E7" s="726" t="s">
        <v>13</v>
      </c>
      <c r="F7" s="682"/>
      <c r="G7" s="675"/>
      <c r="H7" s="675"/>
    </row>
    <row r="8" spans="1:9" ht="21.6" customHeight="1">
      <c r="B8" s="683" t="s">
        <v>870</v>
      </c>
      <c r="C8" s="683"/>
      <c r="D8" s="678" t="s">
        <v>947</v>
      </c>
      <c r="E8" s="681">
        <f>E44</f>
        <v>2272649000</v>
      </c>
      <c r="F8" s="682"/>
      <c r="G8" s="675"/>
      <c r="H8" s="675"/>
    </row>
    <row r="9" spans="1:9" ht="21.6" customHeight="1">
      <c r="B9" s="683" t="s">
        <v>871</v>
      </c>
      <c r="C9" s="683"/>
      <c r="D9" s="678" t="s">
        <v>948</v>
      </c>
      <c r="E9" s="681">
        <f>E84</f>
        <v>9483100000</v>
      </c>
      <c r="F9" s="682"/>
      <c r="G9" s="675"/>
      <c r="H9" s="675"/>
    </row>
    <row r="10" spans="1:9" ht="21.6" customHeight="1">
      <c r="B10" s="683" t="s">
        <v>872</v>
      </c>
      <c r="C10" s="683"/>
      <c r="D10" s="678" t="s">
        <v>949</v>
      </c>
      <c r="E10" s="681">
        <f>E89</f>
        <v>2500000000</v>
      </c>
      <c r="F10" s="682"/>
      <c r="G10" s="675"/>
      <c r="H10" s="675"/>
    </row>
    <row r="11" spans="1:9" ht="21.6" customHeight="1" thickBot="1">
      <c r="A11" s="641"/>
      <c r="B11" s="683" t="s">
        <v>20</v>
      </c>
      <c r="C11" s="683"/>
      <c r="D11" s="678"/>
      <c r="E11" s="684">
        <f>SUM(E8:E10)</f>
        <v>14255749000</v>
      </c>
      <c r="F11" s="682"/>
      <c r="G11" s="685"/>
      <c r="H11" s="675"/>
    </row>
    <row r="12" spans="1:9" ht="21.6" customHeight="1" thickTop="1">
      <c r="A12" s="641"/>
      <c r="B12" s="683"/>
      <c r="C12" s="683"/>
      <c r="D12" s="678"/>
      <c r="E12" s="681"/>
      <c r="F12" s="682"/>
      <c r="G12" s="685"/>
      <c r="H12" s="675"/>
    </row>
    <row r="13" spans="1:9" ht="27">
      <c r="A13" s="641"/>
      <c r="B13" s="674"/>
      <c r="C13" s="674"/>
      <c r="D13" s="674"/>
      <c r="E13" s="727">
        <v>1398</v>
      </c>
    </row>
    <row r="14" spans="1:9" ht="32.25" customHeight="1">
      <c r="A14" s="678" t="s">
        <v>947</v>
      </c>
      <c r="B14" s="686" t="s">
        <v>873</v>
      </c>
      <c r="C14" s="686"/>
      <c r="D14" s="686"/>
      <c r="E14" s="726" t="s">
        <v>13</v>
      </c>
    </row>
    <row r="15" spans="1:9" ht="20.25" customHeight="1">
      <c r="A15" s="641"/>
      <c r="B15" s="674"/>
      <c r="C15" s="674" t="s">
        <v>874</v>
      </c>
      <c r="D15" s="696" t="s">
        <v>875</v>
      </c>
      <c r="E15" s="687">
        <v>75000000</v>
      </c>
    </row>
    <row r="16" spans="1:9" ht="23.25">
      <c r="A16" s="641"/>
      <c r="B16" s="674"/>
      <c r="C16" s="674" t="s">
        <v>876</v>
      </c>
      <c r="D16" s="696" t="s">
        <v>875</v>
      </c>
      <c r="E16" s="687">
        <v>47500000</v>
      </c>
    </row>
    <row r="17" spans="1:5" ht="23.25">
      <c r="A17" s="641"/>
      <c r="B17" s="674"/>
      <c r="C17" s="674" t="s">
        <v>877</v>
      </c>
      <c r="D17" s="696" t="s">
        <v>875</v>
      </c>
      <c r="E17" s="687">
        <v>55000000</v>
      </c>
    </row>
    <row r="18" spans="1:5" ht="27" customHeight="1">
      <c r="A18" s="641"/>
      <c r="B18" s="674"/>
      <c r="C18" s="674" t="s">
        <v>878</v>
      </c>
      <c r="D18" s="696" t="s">
        <v>875</v>
      </c>
      <c r="E18" s="687">
        <v>107649000</v>
      </c>
    </row>
    <row r="19" spans="1:5" ht="23.25">
      <c r="A19" s="641"/>
      <c r="B19" s="674"/>
      <c r="C19" s="674" t="s">
        <v>879</v>
      </c>
      <c r="D19" s="696" t="s">
        <v>875</v>
      </c>
      <c r="E19" s="687">
        <v>55000000</v>
      </c>
    </row>
    <row r="20" spans="1:5" ht="23.25">
      <c r="A20" s="641"/>
      <c r="B20" s="674"/>
      <c r="C20" s="674" t="s">
        <v>880</v>
      </c>
      <c r="D20" s="696" t="s">
        <v>875</v>
      </c>
      <c r="E20" s="687">
        <v>102500000</v>
      </c>
    </row>
    <row r="21" spans="1:5" ht="23.25">
      <c r="A21" s="641"/>
      <c r="B21" s="674"/>
      <c r="C21" s="674" t="s">
        <v>881</v>
      </c>
      <c r="D21" s="696" t="s">
        <v>875</v>
      </c>
      <c r="E21" s="687">
        <v>47500000</v>
      </c>
    </row>
    <row r="22" spans="1:5" ht="23.25">
      <c r="A22" s="641"/>
      <c r="B22" s="674"/>
      <c r="C22" s="674" t="s">
        <v>882</v>
      </c>
      <c r="D22" s="696" t="s">
        <v>875</v>
      </c>
      <c r="E22" s="687">
        <v>125000000</v>
      </c>
    </row>
    <row r="23" spans="1:5" ht="23.25">
      <c r="A23" s="641"/>
      <c r="B23" s="674"/>
      <c r="C23" s="674" t="s">
        <v>883</v>
      </c>
      <c r="D23" s="696" t="s">
        <v>875</v>
      </c>
      <c r="E23" s="687">
        <v>102500000</v>
      </c>
    </row>
    <row r="24" spans="1:5" ht="23.25">
      <c r="A24" s="641"/>
      <c r="B24" s="674"/>
      <c r="C24" s="674" t="s">
        <v>884</v>
      </c>
      <c r="D24" s="696" t="s">
        <v>875</v>
      </c>
      <c r="E24" s="687">
        <v>125000000</v>
      </c>
    </row>
    <row r="25" spans="1:5" ht="23.25">
      <c r="A25" s="641"/>
      <c r="B25" s="674"/>
      <c r="C25" s="674" t="s">
        <v>885</v>
      </c>
      <c r="D25" s="696" t="s">
        <v>875</v>
      </c>
      <c r="E25" s="687">
        <v>72500000</v>
      </c>
    </row>
    <row r="26" spans="1:5" ht="23.25">
      <c r="A26" s="641"/>
      <c r="B26" s="674"/>
      <c r="C26" s="674" t="s">
        <v>886</v>
      </c>
      <c r="D26" s="696" t="s">
        <v>875</v>
      </c>
      <c r="E26" s="687">
        <v>100000000</v>
      </c>
    </row>
    <row r="27" spans="1:5" ht="23.25">
      <c r="A27" s="641"/>
      <c r="B27" s="674"/>
      <c r="C27" s="674" t="s">
        <v>887</v>
      </c>
      <c r="D27" s="696" t="s">
        <v>875</v>
      </c>
      <c r="E27" s="687">
        <v>72500000</v>
      </c>
    </row>
    <row r="28" spans="1:5" ht="23.25">
      <c r="A28" s="641"/>
      <c r="B28" s="674"/>
      <c r="C28" s="674" t="s">
        <v>888</v>
      </c>
      <c r="D28" s="696" t="s">
        <v>875</v>
      </c>
      <c r="E28" s="687">
        <v>45000000</v>
      </c>
    </row>
    <row r="29" spans="1:5" ht="23.25">
      <c r="A29" s="641"/>
      <c r="B29" s="674"/>
      <c r="C29" s="674" t="s">
        <v>889</v>
      </c>
      <c r="D29" s="696" t="s">
        <v>875</v>
      </c>
      <c r="E29" s="687">
        <v>65000000</v>
      </c>
    </row>
    <row r="30" spans="1:5" ht="23.25">
      <c r="A30" s="641"/>
      <c r="B30" s="674"/>
      <c r="C30" s="674" t="s">
        <v>890</v>
      </c>
      <c r="D30" s="696" t="s">
        <v>875</v>
      </c>
      <c r="E30" s="687">
        <v>102500000</v>
      </c>
    </row>
    <row r="31" spans="1:5" ht="23.25">
      <c r="A31" s="641"/>
      <c r="B31" s="674"/>
      <c r="C31" s="674" t="s">
        <v>891</v>
      </c>
      <c r="D31" s="696" t="s">
        <v>875</v>
      </c>
      <c r="E31" s="687">
        <v>102500000</v>
      </c>
    </row>
    <row r="32" spans="1:5" ht="23.25">
      <c r="A32" s="641"/>
      <c r="B32" s="674"/>
      <c r="C32" s="674" t="s">
        <v>892</v>
      </c>
      <c r="D32" s="696" t="s">
        <v>875</v>
      </c>
      <c r="E32" s="687">
        <v>125000000</v>
      </c>
    </row>
    <row r="33" spans="1:8" ht="23.25">
      <c r="A33" s="641"/>
      <c r="B33" s="674"/>
      <c r="C33" s="674" t="s">
        <v>893</v>
      </c>
      <c r="D33" s="696" t="s">
        <v>875</v>
      </c>
      <c r="E33" s="687">
        <v>100000000</v>
      </c>
    </row>
    <row r="34" spans="1:8" ht="23.25">
      <c r="A34" s="641"/>
      <c r="B34" s="674"/>
      <c r="C34" s="674" t="s">
        <v>894</v>
      </c>
      <c r="D34" s="696" t="s">
        <v>875</v>
      </c>
      <c r="E34" s="687">
        <v>22500000</v>
      </c>
    </row>
    <row r="35" spans="1:8" ht="23.25">
      <c r="A35" s="641"/>
      <c r="B35" s="674"/>
      <c r="C35" s="674" t="s">
        <v>895</v>
      </c>
      <c r="D35" s="696" t="s">
        <v>875</v>
      </c>
      <c r="E35" s="687">
        <v>75000000</v>
      </c>
    </row>
    <row r="36" spans="1:8" ht="23.25">
      <c r="A36" s="641"/>
      <c r="B36" s="674"/>
      <c r="C36" s="674" t="s">
        <v>896</v>
      </c>
      <c r="D36" s="696" t="s">
        <v>875</v>
      </c>
      <c r="E36" s="687">
        <v>125000000</v>
      </c>
    </row>
    <row r="37" spans="1:8" ht="23.25">
      <c r="A37" s="641"/>
      <c r="B37" s="674"/>
      <c r="C37" s="674" t="s">
        <v>897</v>
      </c>
      <c r="D37" s="696" t="s">
        <v>875</v>
      </c>
      <c r="E37" s="687">
        <v>80000000</v>
      </c>
    </row>
    <row r="38" spans="1:8" ht="23.25">
      <c r="A38" s="641"/>
      <c r="B38" s="674"/>
      <c r="C38" s="674" t="s">
        <v>898</v>
      </c>
      <c r="D38" s="696" t="s">
        <v>875</v>
      </c>
      <c r="E38" s="687">
        <v>65000000</v>
      </c>
    </row>
    <row r="39" spans="1:8" ht="23.25">
      <c r="A39" s="641"/>
      <c r="B39" s="674"/>
      <c r="C39" s="674" t="s">
        <v>899</v>
      </c>
      <c r="D39" s="696" t="s">
        <v>875</v>
      </c>
      <c r="E39" s="687">
        <v>47500000</v>
      </c>
    </row>
    <row r="40" spans="1:8" ht="23.25">
      <c r="A40" s="641"/>
      <c r="B40" s="674"/>
      <c r="C40" s="674" t="s">
        <v>900</v>
      </c>
      <c r="D40" s="696" t="s">
        <v>875</v>
      </c>
      <c r="E40" s="687">
        <v>70000000</v>
      </c>
    </row>
    <row r="41" spans="1:8" ht="23.25">
      <c r="A41" s="641"/>
      <c r="B41" s="674"/>
      <c r="C41" s="674" t="s">
        <v>901</v>
      </c>
      <c r="D41" s="696" t="s">
        <v>875</v>
      </c>
      <c r="E41" s="687">
        <v>60000000</v>
      </c>
    </row>
    <row r="42" spans="1:8" ht="23.25">
      <c r="A42" s="641"/>
      <c r="B42" s="674"/>
      <c r="C42" s="674" t="s">
        <v>902</v>
      </c>
      <c r="D42" s="696" t="s">
        <v>875</v>
      </c>
      <c r="E42" s="687">
        <v>50000000</v>
      </c>
    </row>
    <row r="43" spans="1:8" ht="23.25">
      <c r="A43" s="641"/>
      <c r="B43" s="674"/>
      <c r="C43" s="674" t="s">
        <v>903</v>
      </c>
      <c r="D43" s="696" t="s">
        <v>875</v>
      </c>
      <c r="E43" s="687">
        <v>50000000</v>
      </c>
    </row>
    <row r="44" spans="1:8" s="692" customFormat="1" ht="21.95" customHeight="1" thickBot="1">
      <c r="A44" s="674"/>
      <c r="B44" s="683"/>
      <c r="C44" s="674" t="s">
        <v>20</v>
      </c>
      <c r="D44" s="688"/>
      <c r="E44" s="689">
        <f>SUM(E15:E43)</f>
        <v>2272649000</v>
      </c>
      <c r="F44" s="690"/>
      <c r="G44" s="691"/>
      <c r="H44" s="691"/>
    </row>
    <row r="45" spans="1:8" s="692" customFormat="1" ht="21.95" customHeight="1" thickTop="1">
      <c r="A45" s="674"/>
      <c r="B45" s="683"/>
      <c r="C45" s="674"/>
      <c r="D45" s="688"/>
      <c r="E45" s="763"/>
      <c r="F45" s="690"/>
      <c r="G45" s="691"/>
      <c r="H45" s="691"/>
    </row>
    <row r="46" spans="1:8" ht="32.25" customHeight="1">
      <c r="A46" s="725" t="s">
        <v>948</v>
      </c>
      <c r="B46" s="762" t="s">
        <v>904</v>
      </c>
      <c r="C46" s="686"/>
      <c r="D46" s="686"/>
      <c r="E46" s="727">
        <v>1398</v>
      </c>
    </row>
    <row r="47" spans="1:8" ht="21.95" customHeight="1">
      <c r="A47" s="678"/>
      <c r="B47" s="693"/>
      <c r="C47" s="693"/>
      <c r="D47" s="693"/>
      <c r="E47" s="726" t="s">
        <v>42</v>
      </c>
    </row>
    <row r="48" spans="1:8" ht="21.95" customHeight="1">
      <c r="A48" s="674"/>
      <c r="B48" s="683"/>
      <c r="C48" s="674" t="s">
        <v>905</v>
      </c>
      <c r="D48" s="683" t="s">
        <v>906</v>
      </c>
      <c r="E48" s="687">
        <v>310000000</v>
      </c>
    </row>
    <row r="49" spans="1:13" ht="21.95" customHeight="1">
      <c r="A49" s="674"/>
      <c r="B49" s="683"/>
      <c r="C49" s="674" t="s">
        <v>907</v>
      </c>
      <c r="D49" s="683" t="s">
        <v>906</v>
      </c>
      <c r="E49" s="687">
        <v>398000000</v>
      </c>
    </row>
    <row r="50" spans="1:13" ht="23.25">
      <c r="A50" s="641"/>
      <c r="B50" s="674"/>
      <c r="C50" s="674" t="s">
        <v>908</v>
      </c>
      <c r="D50" s="683" t="s">
        <v>906</v>
      </c>
      <c r="E50" s="687">
        <v>60000000</v>
      </c>
    </row>
    <row r="51" spans="1:13" ht="23.25">
      <c r="A51" s="641"/>
      <c r="B51" s="674"/>
      <c r="C51" s="674" t="s">
        <v>909</v>
      </c>
      <c r="D51" s="683" t="s">
        <v>906</v>
      </c>
      <c r="E51" s="687">
        <v>560000000</v>
      </c>
    </row>
    <row r="52" spans="1:13" ht="23.25">
      <c r="A52" s="641"/>
      <c r="B52" s="674"/>
      <c r="C52" s="674" t="s">
        <v>910</v>
      </c>
      <c r="D52" s="683" t="s">
        <v>906</v>
      </c>
      <c r="E52" s="687">
        <v>760000000</v>
      </c>
    </row>
    <row r="53" spans="1:13" ht="23.25">
      <c r="A53" s="641"/>
      <c r="B53" s="674"/>
      <c r="C53" s="674" t="s">
        <v>911</v>
      </c>
      <c r="D53" s="683" t="s">
        <v>906</v>
      </c>
      <c r="E53" s="687">
        <v>60000000</v>
      </c>
    </row>
    <row r="54" spans="1:13" ht="23.25">
      <c r="A54" s="641"/>
      <c r="B54" s="674"/>
      <c r="C54" s="674" t="s">
        <v>912</v>
      </c>
      <c r="D54" s="683" t="s">
        <v>906</v>
      </c>
      <c r="E54" s="687">
        <v>584000000</v>
      </c>
    </row>
    <row r="55" spans="1:13" ht="23.25">
      <c r="A55" s="641"/>
      <c r="B55" s="674"/>
      <c r="C55" s="674" t="s">
        <v>913</v>
      </c>
      <c r="D55" s="683" t="s">
        <v>906</v>
      </c>
      <c r="E55" s="687">
        <v>584000000</v>
      </c>
    </row>
    <row r="56" spans="1:13" ht="23.25">
      <c r="A56" s="641"/>
      <c r="B56" s="674"/>
      <c r="C56" s="674" t="s">
        <v>914</v>
      </c>
      <c r="D56" s="683" t="s">
        <v>906</v>
      </c>
      <c r="E56" s="687">
        <v>56000000</v>
      </c>
    </row>
    <row r="57" spans="1:13" ht="23.25">
      <c r="A57" s="641"/>
      <c r="B57" s="674"/>
      <c r="C57" s="674" t="s">
        <v>915</v>
      </c>
      <c r="D57" s="683" t="s">
        <v>906</v>
      </c>
      <c r="E57" s="687">
        <v>120000000</v>
      </c>
    </row>
    <row r="58" spans="1:13" ht="23.25">
      <c r="A58" s="641"/>
      <c r="B58" s="674"/>
      <c r="C58" s="674" t="s">
        <v>916</v>
      </c>
      <c r="D58" s="683" t="s">
        <v>906</v>
      </c>
      <c r="E58" s="687">
        <v>60000000</v>
      </c>
    </row>
    <row r="59" spans="1:13" ht="23.25">
      <c r="A59" s="641"/>
      <c r="B59" s="674"/>
      <c r="C59" s="674" t="s">
        <v>917</v>
      </c>
      <c r="D59" s="683" t="s">
        <v>906</v>
      </c>
      <c r="E59" s="687">
        <v>120000000</v>
      </c>
    </row>
    <row r="60" spans="1:13" ht="23.25">
      <c r="A60" s="641"/>
      <c r="B60" s="674"/>
      <c r="C60" s="674" t="s">
        <v>918</v>
      </c>
      <c r="D60" s="683" t="s">
        <v>906</v>
      </c>
      <c r="E60" s="687">
        <v>120000000</v>
      </c>
    </row>
    <row r="61" spans="1:13" ht="23.25">
      <c r="A61" s="641"/>
      <c r="B61" s="674"/>
      <c r="C61" s="674" t="s">
        <v>919</v>
      </c>
      <c r="D61" s="683" t="s">
        <v>906</v>
      </c>
      <c r="E61" s="687">
        <v>610500000</v>
      </c>
    </row>
    <row r="62" spans="1:13" ht="23.25">
      <c r="A62" s="641"/>
      <c r="B62" s="674"/>
      <c r="C62" s="674" t="s">
        <v>920</v>
      </c>
      <c r="D62" s="683" t="s">
        <v>906</v>
      </c>
      <c r="E62" s="687">
        <v>120000000</v>
      </c>
    </row>
    <row r="63" spans="1:13" ht="23.25">
      <c r="A63" s="641"/>
      <c r="B63" s="674"/>
      <c r="C63" s="674" t="s">
        <v>921</v>
      </c>
      <c r="D63" s="683" t="s">
        <v>906</v>
      </c>
      <c r="E63" s="687">
        <v>60000000</v>
      </c>
      <c r="I63" s="674"/>
      <c r="J63" s="674"/>
      <c r="K63" s="674"/>
      <c r="L63" s="674"/>
      <c r="M63" s="687"/>
    </row>
    <row r="64" spans="1:13" ht="23.25">
      <c r="A64" s="641"/>
      <c r="B64" s="674"/>
      <c r="C64" s="674" t="s">
        <v>922</v>
      </c>
      <c r="D64" s="683" t="s">
        <v>906</v>
      </c>
      <c r="E64" s="687">
        <v>300000000</v>
      </c>
    </row>
    <row r="65" spans="1:5" ht="23.25">
      <c r="A65" s="641"/>
      <c r="B65" s="674"/>
      <c r="C65" s="674" t="s">
        <v>923</v>
      </c>
      <c r="D65" s="683" t="s">
        <v>906</v>
      </c>
      <c r="E65" s="687">
        <v>180000000</v>
      </c>
    </row>
    <row r="66" spans="1:5" ht="21.75" customHeight="1">
      <c r="A66" s="641"/>
      <c r="B66" s="674"/>
      <c r="C66" s="674" t="s">
        <v>924</v>
      </c>
      <c r="D66" s="683" t="s">
        <v>906</v>
      </c>
      <c r="E66" s="687">
        <v>60000000</v>
      </c>
    </row>
    <row r="67" spans="1:5" ht="26.25" customHeight="1">
      <c r="A67" s="641"/>
      <c r="B67" s="674"/>
      <c r="C67" s="674" t="s">
        <v>925</v>
      </c>
      <c r="D67" s="683" t="s">
        <v>906</v>
      </c>
      <c r="E67" s="687">
        <v>310000000</v>
      </c>
    </row>
    <row r="68" spans="1:5" ht="23.25">
      <c r="A68" s="641"/>
      <c r="B68" s="674"/>
      <c r="C68" s="674" t="s">
        <v>926</v>
      </c>
      <c r="D68" s="683" t="s">
        <v>906</v>
      </c>
      <c r="E68" s="687">
        <v>760000000</v>
      </c>
    </row>
    <row r="69" spans="1:5" ht="23.25">
      <c r="A69" s="641"/>
      <c r="B69" s="674"/>
      <c r="C69" s="674" t="s">
        <v>577</v>
      </c>
      <c r="D69" s="683" t="s">
        <v>906</v>
      </c>
      <c r="E69" s="687">
        <v>112000000</v>
      </c>
    </row>
    <row r="70" spans="1:5" ht="23.25">
      <c r="A70" s="641"/>
      <c r="B70" s="674"/>
      <c r="C70" s="674" t="s">
        <v>927</v>
      </c>
      <c r="D70" s="683" t="s">
        <v>906</v>
      </c>
      <c r="E70" s="687">
        <v>430000000</v>
      </c>
    </row>
    <row r="71" spans="1:5" ht="23.25">
      <c r="A71" s="641"/>
      <c r="B71" s="674"/>
      <c r="C71" s="674" t="s">
        <v>928</v>
      </c>
      <c r="D71" s="683" t="s">
        <v>906</v>
      </c>
      <c r="E71" s="687">
        <v>252000000</v>
      </c>
    </row>
    <row r="72" spans="1:5" ht="23.25">
      <c r="A72" s="641"/>
      <c r="B72" s="674"/>
      <c r="C72" s="674" t="s">
        <v>929</v>
      </c>
      <c r="D72" s="683" t="s">
        <v>906</v>
      </c>
      <c r="E72" s="687">
        <v>120000000</v>
      </c>
    </row>
    <row r="73" spans="1:5" ht="23.25">
      <c r="A73" s="641"/>
      <c r="B73" s="674"/>
      <c r="C73" s="674" t="s">
        <v>930</v>
      </c>
      <c r="D73" s="683" t="s">
        <v>906</v>
      </c>
      <c r="E73" s="687">
        <v>90000000</v>
      </c>
    </row>
    <row r="74" spans="1:5" ht="23.25">
      <c r="A74" s="641"/>
      <c r="B74" s="674"/>
      <c r="C74" s="674" t="s">
        <v>931</v>
      </c>
      <c r="D74" s="683" t="s">
        <v>906</v>
      </c>
      <c r="E74" s="687">
        <v>340000000</v>
      </c>
    </row>
    <row r="75" spans="1:5" ht="23.25">
      <c r="A75" s="641"/>
      <c r="B75" s="674"/>
      <c r="C75" s="674" t="s">
        <v>932</v>
      </c>
      <c r="D75" s="683" t="s">
        <v>906</v>
      </c>
      <c r="E75" s="687">
        <v>60000000</v>
      </c>
    </row>
    <row r="76" spans="1:5" ht="23.25">
      <c r="A76" s="641"/>
      <c r="B76" s="674"/>
      <c r="C76" s="674" t="s">
        <v>933</v>
      </c>
      <c r="D76" s="683" t="s">
        <v>906</v>
      </c>
      <c r="E76" s="687">
        <v>290000000</v>
      </c>
    </row>
    <row r="77" spans="1:5" ht="23.25">
      <c r="A77" s="641"/>
      <c r="B77" s="674"/>
      <c r="C77" s="674" t="s">
        <v>934</v>
      </c>
      <c r="D77" s="683" t="s">
        <v>906</v>
      </c>
      <c r="E77" s="687">
        <v>84000000</v>
      </c>
    </row>
    <row r="78" spans="1:5" ht="23.25">
      <c r="A78" s="641"/>
      <c r="B78" s="674"/>
      <c r="C78" s="674" t="s">
        <v>935</v>
      </c>
      <c r="D78" s="683" t="s">
        <v>906</v>
      </c>
      <c r="E78" s="687">
        <v>607600000</v>
      </c>
    </row>
    <row r="79" spans="1:5" ht="23.25">
      <c r="A79" s="641"/>
      <c r="B79" s="674"/>
      <c r="C79" s="674" t="s">
        <v>936</v>
      </c>
      <c r="D79" s="683" t="s">
        <v>906</v>
      </c>
      <c r="E79" s="687">
        <v>470000000</v>
      </c>
    </row>
    <row r="80" spans="1:5" ht="23.25">
      <c r="A80" s="641"/>
      <c r="B80" s="674"/>
      <c r="C80" s="674" t="s">
        <v>937</v>
      </c>
      <c r="D80" s="683" t="s">
        <v>906</v>
      </c>
      <c r="E80" s="687">
        <v>55000000</v>
      </c>
    </row>
    <row r="81" spans="1:5" ht="23.25">
      <c r="A81" s="641"/>
      <c r="B81" s="674"/>
      <c r="C81" s="674" t="s">
        <v>938</v>
      </c>
      <c r="D81" s="683" t="s">
        <v>906</v>
      </c>
      <c r="E81" s="687">
        <v>120000000</v>
      </c>
    </row>
    <row r="82" spans="1:5" ht="23.25">
      <c r="A82" s="641"/>
      <c r="B82" s="674"/>
      <c r="C82" s="674" t="s">
        <v>939</v>
      </c>
      <c r="D82" s="683" t="s">
        <v>906</v>
      </c>
      <c r="E82" s="687">
        <v>60000000</v>
      </c>
    </row>
    <row r="83" spans="1:5" ht="23.25">
      <c r="A83" s="641"/>
      <c r="B83" s="674"/>
      <c r="C83" s="674" t="s">
        <v>940</v>
      </c>
      <c r="D83" s="683" t="s">
        <v>906</v>
      </c>
      <c r="E83" s="687">
        <v>200000000</v>
      </c>
    </row>
    <row r="84" spans="1:5" ht="24" thickBot="1">
      <c r="A84" s="641"/>
      <c r="B84" s="674"/>
      <c r="C84" s="674" t="s">
        <v>20</v>
      </c>
      <c r="D84" s="674"/>
      <c r="E84" s="694">
        <f>SUM(E48:E83)</f>
        <v>9483100000</v>
      </c>
    </row>
    <row r="85" spans="1:5" ht="24" thickTop="1">
      <c r="A85" s="641"/>
      <c r="B85" s="674"/>
      <c r="C85" s="674"/>
      <c r="D85" s="674"/>
      <c r="E85" s="429"/>
    </row>
    <row r="86" spans="1:5" ht="27">
      <c r="A86" s="678" t="s">
        <v>949</v>
      </c>
      <c r="B86" s="683" t="s">
        <v>941</v>
      </c>
      <c r="D86" s="683"/>
      <c r="E86" s="727">
        <v>1398</v>
      </c>
    </row>
    <row r="87" spans="1:5" ht="27">
      <c r="A87" s="641"/>
      <c r="B87" s="674"/>
      <c r="C87" s="674"/>
      <c r="D87" s="674"/>
      <c r="E87" s="726" t="s">
        <v>13</v>
      </c>
    </row>
    <row r="88" spans="1:5" ht="23.25">
      <c r="A88" s="641"/>
      <c r="B88" s="674"/>
      <c r="C88" s="674" t="s">
        <v>942</v>
      </c>
      <c r="D88" s="674" t="s">
        <v>943</v>
      </c>
      <c r="E88" s="687">
        <v>2500000000</v>
      </c>
    </row>
    <row r="89" spans="1:5" ht="24" thickBot="1">
      <c r="A89" s="641"/>
      <c r="B89" s="674"/>
      <c r="C89" s="674" t="s">
        <v>20</v>
      </c>
      <c r="D89" s="674"/>
      <c r="E89" s="694">
        <f>SUM(E88:E88)</f>
        <v>2500000000</v>
      </c>
    </row>
    <row r="90" spans="1:5" ht="22.5" thickTop="1"/>
  </sheetData>
  <mergeCells count="4">
    <mergeCell ref="B4:E5"/>
    <mergeCell ref="A1:E1"/>
    <mergeCell ref="A2:E2"/>
    <mergeCell ref="A3:E3"/>
  </mergeCells>
  <pageMargins left="0.31496062992125984" right="0.27559055118110237" top="0.35433070866141736" bottom="0.47244094488188981" header="0.31496062992125984" footer="0.19685039370078741"/>
  <pageSetup scale="92" firstPageNumber="31" fitToHeight="3" orientation="portrait" useFirstPageNumber="1" verticalDpi="300" r:id="rId1"/>
  <headerFooter>
    <oddFooter>&amp;C&amp;"B Titr,Bold"&amp;12&amp;P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'C:\Users\Sheibeh\Desktop\13990228\[زراسوندی.xlsm]Lists'!#REF!</xm:f>
          </x14:formula1>
          <xm:sqref>D15:D43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H14"/>
  <sheetViews>
    <sheetView rightToLeft="1" view="pageBreakPreview" zoomScale="85" zoomScaleNormal="85" zoomScaleSheetLayoutView="85" workbookViewId="0">
      <selection activeCell="D12" sqref="D12"/>
    </sheetView>
  </sheetViews>
  <sheetFormatPr defaultColWidth="14.42578125" defaultRowHeight="27"/>
  <cols>
    <col min="1" max="1" width="4.140625" style="320" customWidth="1"/>
    <col min="2" max="2" width="45.5703125" style="320" bestFit="1" customWidth="1"/>
    <col min="3" max="3" width="14.7109375" style="320" bestFit="1" customWidth="1"/>
    <col min="4" max="4" width="21.85546875" style="321" bestFit="1" customWidth="1"/>
    <col min="5" max="6" width="16.7109375" style="321" bestFit="1" customWidth="1"/>
    <col min="7" max="7" width="21.85546875" style="321" bestFit="1" customWidth="1"/>
    <col min="8" max="8" width="19.5703125" style="320" bestFit="1" customWidth="1"/>
    <col min="9" max="9" width="16.5703125" style="320" bestFit="1" customWidth="1"/>
    <col min="10" max="16384" width="14.42578125" style="320"/>
  </cols>
  <sheetData>
    <row r="2" spans="2:8" s="706" customFormat="1">
      <c r="B2" s="800" t="s">
        <v>636</v>
      </c>
      <c r="C2" s="801" t="s">
        <v>635</v>
      </c>
      <c r="D2" s="802" t="s">
        <v>634</v>
      </c>
      <c r="E2" s="803" t="s">
        <v>589</v>
      </c>
      <c r="F2" s="803"/>
      <c r="G2" s="802" t="s">
        <v>631</v>
      </c>
    </row>
    <row r="3" spans="2:8" s="708" customFormat="1" ht="24.75">
      <c r="B3" s="800"/>
      <c r="C3" s="801"/>
      <c r="D3" s="802"/>
      <c r="E3" s="707" t="s">
        <v>633</v>
      </c>
      <c r="F3" s="707" t="s">
        <v>632</v>
      </c>
      <c r="G3" s="802"/>
    </row>
    <row r="4" spans="2:8" s="708" customFormat="1" ht="25.5" customHeight="1">
      <c r="B4" s="800"/>
      <c r="C4" s="801"/>
      <c r="D4" s="709" t="s">
        <v>42</v>
      </c>
      <c r="E4" s="709" t="s">
        <v>42</v>
      </c>
      <c r="F4" s="709" t="s">
        <v>42</v>
      </c>
      <c r="G4" s="709" t="s">
        <v>42</v>
      </c>
    </row>
    <row r="5" spans="2:8" s="706" customFormat="1">
      <c r="B5" s="710" t="s">
        <v>197</v>
      </c>
      <c r="C5" s="711">
        <v>5</v>
      </c>
      <c r="D5" s="704">
        <f>يادداشتها!H72+6267448227</f>
        <v>18068459221</v>
      </c>
      <c r="E5" s="704">
        <v>0</v>
      </c>
      <c r="F5" s="704">
        <v>6267448227</v>
      </c>
      <c r="G5" s="704">
        <f>D5+E5-F5</f>
        <v>11801010994</v>
      </c>
    </row>
    <row r="6" spans="2:8" s="706" customFormat="1">
      <c r="B6" s="710" t="s">
        <v>953</v>
      </c>
      <c r="C6" s="711" t="s">
        <v>705</v>
      </c>
      <c r="D6" s="704">
        <f>996533198504</f>
        <v>996533198504</v>
      </c>
      <c r="E6" s="704">
        <f>F5</f>
        <v>6267448227</v>
      </c>
      <c r="F6" s="704">
        <f>E7+E8</f>
        <v>2408402129</v>
      </c>
      <c r="G6" s="704">
        <f>D6+F6-E6</f>
        <v>992674152406</v>
      </c>
    </row>
    <row r="7" spans="2:8" s="706" customFormat="1">
      <c r="B7" s="703" t="s">
        <v>376</v>
      </c>
      <c r="C7" s="704">
        <v>8</v>
      </c>
      <c r="D7" s="704">
        <f>'دارایی ثابت مشهود'!E16-1355901000</f>
        <v>922188388979</v>
      </c>
      <c r="E7" s="704">
        <v>1355901000</v>
      </c>
      <c r="F7" s="704">
        <v>0</v>
      </c>
      <c r="G7" s="704">
        <f>D7+E7-F7</f>
        <v>923544289979</v>
      </c>
      <c r="H7" s="705"/>
    </row>
    <row r="8" spans="2:8" s="706" customFormat="1">
      <c r="B8" s="703" t="s">
        <v>410</v>
      </c>
      <c r="C8" s="711">
        <v>9</v>
      </c>
      <c r="D8" s="704">
        <f>يادداشتها!H209-1052501129</f>
        <v>27629533548</v>
      </c>
      <c r="E8" s="704">
        <v>1052501129</v>
      </c>
      <c r="F8" s="704">
        <v>0</v>
      </c>
      <c r="G8" s="704">
        <f>D8+E8-F8</f>
        <v>28682034677</v>
      </c>
      <c r="H8" s="705"/>
    </row>
    <row r="9" spans="2:8" s="706" customFormat="1">
      <c r="B9" s="711" t="s">
        <v>20</v>
      </c>
      <c r="C9" s="711"/>
      <c r="D9" s="704">
        <f>SUM(D5:D8)</f>
        <v>1964419580252</v>
      </c>
      <c r="E9" s="704">
        <f>SUM(E5:E8)</f>
        <v>8675850356</v>
      </c>
      <c r="F9" s="704">
        <f>SUM(F5:F8)</f>
        <v>8675850356</v>
      </c>
      <c r="G9" s="704">
        <f>SUM(G5:G8)</f>
        <v>1956701488056</v>
      </c>
    </row>
    <row r="14" spans="2:8">
      <c r="H14" s="321"/>
    </row>
  </sheetData>
  <mergeCells count="5">
    <mergeCell ref="B2:B4"/>
    <mergeCell ref="C2:C4"/>
    <mergeCell ref="D2:D3"/>
    <mergeCell ref="G2:G3"/>
    <mergeCell ref="E2:F2"/>
  </mergeCells>
  <pageMargins left="0.25" right="0.2" top="0.75" bottom="0.75" header="0.3" footer="0.3"/>
  <pageSetup scale="91" orientation="landscape"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469"/>
  <sheetViews>
    <sheetView rightToLeft="1" view="pageBreakPreview" topLeftCell="A452" zoomScale="70" zoomScaleNormal="70" zoomScaleSheetLayoutView="70" zoomScalePageLayoutView="25" workbookViewId="0">
      <selection activeCell="F5" sqref="F5"/>
    </sheetView>
  </sheetViews>
  <sheetFormatPr defaultColWidth="13.42578125" defaultRowHeight="27"/>
  <cols>
    <col min="1" max="1" width="6.85546875" style="262" customWidth="1"/>
    <col min="2" max="2" width="73.28515625" style="7" customWidth="1"/>
    <col min="3" max="3" width="1.7109375" style="7" bestFit="1" customWidth="1"/>
    <col min="4" max="4" width="12.42578125" style="245" bestFit="1" customWidth="1"/>
    <col min="5" max="5" width="1.5703125" style="34" customWidth="1"/>
    <col min="6" max="6" width="22.42578125" style="34" bestFit="1" customWidth="1"/>
    <col min="7" max="7" width="1.7109375" style="34" customWidth="1"/>
    <col min="8" max="8" width="21.140625" style="34" bestFit="1" customWidth="1"/>
    <col min="9" max="9" width="1.7109375" style="34" customWidth="1"/>
    <col min="10" max="10" width="26.140625" style="7" bestFit="1" customWidth="1"/>
    <col min="11" max="11" width="49" style="7" customWidth="1"/>
    <col min="12" max="12" width="48" style="7" customWidth="1"/>
    <col min="13" max="13" width="18.28515625" style="7" customWidth="1"/>
    <col min="14" max="14" width="13.42578125" style="7"/>
    <col min="15" max="15" width="16.42578125" style="7" bestFit="1" customWidth="1"/>
    <col min="16" max="16" width="13.42578125" style="7"/>
    <col min="17" max="17" width="15.85546875" style="7" bestFit="1" customWidth="1"/>
    <col min="18" max="16384" width="13.42578125" style="7"/>
  </cols>
  <sheetData>
    <row r="1" spans="1:12" ht="28.5">
      <c r="A1" s="810" t="s">
        <v>960</v>
      </c>
      <c r="B1" s="810"/>
      <c r="C1" s="810"/>
      <c r="D1" s="810"/>
      <c r="E1" s="810"/>
      <c r="F1" s="810"/>
      <c r="G1" s="810"/>
      <c r="H1" s="810"/>
    </row>
    <row r="2" spans="1:12" ht="28.5">
      <c r="A2" s="810" t="s">
        <v>536</v>
      </c>
      <c r="B2" s="810"/>
      <c r="C2" s="810"/>
      <c r="D2" s="810"/>
      <c r="E2" s="810"/>
      <c r="F2" s="810"/>
      <c r="G2" s="810"/>
      <c r="H2" s="810"/>
    </row>
    <row r="3" spans="1:12" ht="28.5">
      <c r="A3" s="810" t="s">
        <v>712</v>
      </c>
      <c r="B3" s="810"/>
      <c r="C3" s="810"/>
      <c r="D3" s="810"/>
      <c r="E3" s="810"/>
      <c r="F3" s="810"/>
      <c r="G3" s="810"/>
      <c r="H3" s="810"/>
    </row>
    <row r="4" spans="1:12" ht="33.75" customHeight="1">
      <c r="A4" s="358" t="s">
        <v>14</v>
      </c>
      <c r="B4" s="158" t="s">
        <v>15</v>
      </c>
      <c r="C4" s="139"/>
      <c r="D4" s="165"/>
      <c r="E4" s="138"/>
      <c r="F4" s="138"/>
      <c r="G4" s="138"/>
      <c r="H4" s="359"/>
    </row>
    <row r="5" spans="1:12" ht="27.75" thickBot="1">
      <c r="A5" s="241"/>
      <c r="D5" s="378" t="s">
        <v>12</v>
      </c>
      <c r="E5" s="313"/>
      <c r="F5" s="360">
        <v>1398</v>
      </c>
      <c r="G5" s="242"/>
      <c r="H5" s="360">
        <v>1397</v>
      </c>
      <c r="I5" s="35"/>
    </row>
    <row r="6" spans="1:12">
      <c r="A6" s="241"/>
      <c r="B6" s="196"/>
      <c r="C6" s="196"/>
      <c r="D6" s="196"/>
      <c r="F6" s="361" t="s">
        <v>199</v>
      </c>
      <c r="G6" s="242"/>
      <c r="H6" s="361" t="s">
        <v>199</v>
      </c>
      <c r="J6" s="169"/>
    </row>
    <row r="7" spans="1:12">
      <c r="A7" s="241"/>
      <c r="B7" s="370" t="s">
        <v>163</v>
      </c>
      <c r="C7" s="370"/>
      <c r="D7" s="452" t="s">
        <v>16</v>
      </c>
      <c r="E7" s="138"/>
      <c r="F7" s="138">
        <f>F29</f>
        <v>84978639634</v>
      </c>
      <c r="G7" s="138"/>
      <c r="H7" s="138">
        <f>H29</f>
        <v>19191012833</v>
      </c>
      <c r="I7" s="156">
        <f>I29</f>
        <v>0</v>
      </c>
      <c r="J7" s="200">
        <f>F7+F8+F9-' مصوب'!R20-'وجوه مصرف نشده'!S28-ابلاغي!K19-'سايرمنابع جاری'!L18</f>
        <v>-4.000091552734375E-2</v>
      </c>
      <c r="K7" s="169"/>
    </row>
    <row r="8" spans="1:12">
      <c r="A8" s="241"/>
      <c r="B8" s="370" t="s">
        <v>164</v>
      </c>
      <c r="C8" s="370"/>
      <c r="D8" s="452" t="s">
        <v>36</v>
      </c>
      <c r="E8" s="138"/>
      <c r="F8" s="138">
        <f>F35</f>
        <v>13816381843</v>
      </c>
      <c r="G8" s="138"/>
      <c r="H8" s="138">
        <f>H35</f>
        <v>4690149047</v>
      </c>
      <c r="I8" s="156">
        <f>I35</f>
        <v>0</v>
      </c>
      <c r="J8" s="195"/>
      <c r="K8" s="448"/>
      <c r="L8" s="449"/>
    </row>
    <row r="9" spans="1:12">
      <c r="A9" s="241"/>
      <c r="B9" s="370" t="s">
        <v>399</v>
      </c>
      <c r="C9" s="370"/>
      <c r="D9" s="452" t="s">
        <v>40</v>
      </c>
      <c r="E9" s="138"/>
      <c r="F9" s="138">
        <f>F42</f>
        <v>350000000</v>
      </c>
      <c r="G9" s="138"/>
      <c r="H9" s="138">
        <f>H42</f>
        <v>1451116623</v>
      </c>
      <c r="I9" s="156">
        <f>I41</f>
        <v>0</v>
      </c>
      <c r="J9" s="195"/>
      <c r="K9" s="448"/>
      <c r="L9" s="449"/>
    </row>
    <row r="10" spans="1:12">
      <c r="A10" s="241"/>
      <c r="B10" s="370" t="s">
        <v>35</v>
      </c>
      <c r="C10" s="370"/>
      <c r="D10" s="452" t="s">
        <v>177</v>
      </c>
      <c r="E10" s="138"/>
      <c r="F10" s="138">
        <f>F49</f>
        <v>8673783102</v>
      </c>
      <c r="G10" s="138"/>
      <c r="H10" s="138">
        <f>H49</f>
        <v>2157694452</v>
      </c>
      <c r="I10" s="195"/>
      <c r="J10" s="200">
        <f>F10-F244</f>
        <v>0</v>
      </c>
      <c r="K10" s="448"/>
      <c r="L10" s="449"/>
    </row>
    <row r="11" spans="1:12">
      <c r="A11" s="241"/>
      <c r="B11" s="370" t="s">
        <v>679</v>
      </c>
      <c r="C11" s="370"/>
      <c r="D11" s="452" t="s">
        <v>203</v>
      </c>
      <c r="E11" s="138"/>
      <c r="F11" s="138">
        <f>F65</f>
        <v>2415668928</v>
      </c>
      <c r="G11" s="138"/>
      <c r="H11" s="138">
        <f>H65</f>
        <v>711221521</v>
      </c>
      <c r="I11" s="195"/>
      <c r="J11" s="195"/>
      <c r="K11" s="448"/>
      <c r="L11" s="449"/>
    </row>
    <row r="12" spans="1:12" ht="27.75" thickBot="1">
      <c r="A12" s="241"/>
      <c r="B12" s="139"/>
      <c r="C12" s="139"/>
      <c r="D12" s="452"/>
      <c r="E12" s="138"/>
      <c r="F12" s="238">
        <f>SUM(F7:F11)</f>
        <v>110234473507</v>
      </c>
      <c r="G12" s="138"/>
      <c r="H12" s="238">
        <f>SUM(H7:H11)</f>
        <v>28201194476</v>
      </c>
      <c r="I12" s="195"/>
      <c r="J12" s="200">
        <f>F12-110234473507</f>
        <v>0</v>
      </c>
      <c r="K12" s="448"/>
      <c r="L12" s="449"/>
    </row>
    <row r="13" spans="1:12" ht="27.75" thickTop="1">
      <c r="A13" s="241"/>
      <c r="D13" s="244"/>
      <c r="I13" s="195"/>
      <c r="J13" s="200"/>
      <c r="K13" s="169"/>
    </row>
    <row r="14" spans="1:12" ht="27.75" thickBot="1">
      <c r="A14" s="366" t="s">
        <v>17</v>
      </c>
      <c r="B14" s="363" t="s">
        <v>165</v>
      </c>
      <c r="C14" s="169"/>
      <c r="D14" s="196"/>
      <c r="E14" s="313"/>
      <c r="F14" s="360">
        <v>1398</v>
      </c>
      <c r="G14" s="242"/>
      <c r="H14" s="360">
        <v>1397</v>
      </c>
      <c r="I14" s="35"/>
      <c r="K14" s="314"/>
    </row>
    <row r="15" spans="1:12">
      <c r="A15" s="241"/>
      <c r="B15" s="362"/>
      <c r="C15" s="169"/>
      <c r="D15" s="196"/>
      <c r="F15" s="361" t="s">
        <v>199</v>
      </c>
      <c r="G15" s="242"/>
      <c r="H15" s="361" t="s">
        <v>199</v>
      </c>
    </row>
    <row r="16" spans="1:12">
      <c r="A16" s="241"/>
      <c r="B16" s="362" t="s">
        <v>166</v>
      </c>
      <c r="C16" s="169"/>
      <c r="D16" s="34"/>
      <c r="F16" s="138">
        <f>32716328009+6057450800</f>
        <v>38773778809</v>
      </c>
      <c r="H16" s="138">
        <v>16012888341</v>
      </c>
      <c r="J16" s="169"/>
      <c r="K16" s="450"/>
      <c r="L16" s="451"/>
    </row>
    <row r="17" spans="1:12">
      <c r="A17" s="241"/>
      <c r="B17" s="362" t="s">
        <v>167</v>
      </c>
      <c r="C17" s="169"/>
      <c r="D17" s="244"/>
      <c r="F17" s="138">
        <f>2189475000+1811902759</f>
        <v>4001377759</v>
      </c>
      <c r="H17" s="138">
        <v>29839759</v>
      </c>
      <c r="J17" s="169"/>
      <c r="K17" s="450"/>
      <c r="L17" s="451"/>
    </row>
    <row r="18" spans="1:12">
      <c r="A18" s="241"/>
      <c r="B18" s="362" t="s">
        <v>168</v>
      </c>
      <c r="C18" s="169"/>
      <c r="D18" s="244"/>
      <c r="F18" s="138">
        <v>0</v>
      </c>
      <c r="H18" s="138">
        <v>436536</v>
      </c>
      <c r="J18" s="169"/>
      <c r="K18" s="450"/>
      <c r="L18" s="451"/>
    </row>
    <row r="19" spans="1:12">
      <c r="A19" s="241"/>
      <c r="B19" s="362" t="s">
        <v>966</v>
      </c>
      <c r="C19" s="169"/>
      <c r="D19" s="244"/>
      <c r="F19" s="138">
        <f>4545385298+1096858196</f>
        <v>5642243494</v>
      </c>
      <c r="H19" s="138">
        <v>96858196</v>
      </c>
      <c r="J19" s="169"/>
      <c r="K19" s="450"/>
      <c r="L19" s="451"/>
    </row>
    <row r="20" spans="1:12">
      <c r="A20" s="241"/>
      <c r="B20" s="362" t="s">
        <v>169</v>
      </c>
      <c r="C20" s="169"/>
      <c r="D20" s="315"/>
      <c r="F20" s="138">
        <v>0</v>
      </c>
      <c r="H20" s="138">
        <v>1</v>
      </c>
      <c r="J20" s="169"/>
      <c r="K20" s="450"/>
      <c r="L20" s="451"/>
    </row>
    <row r="21" spans="1:12">
      <c r="A21" s="241"/>
      <c r="B21" s="362" t="s">
        <v>171</v>
      </c>
      <c r="C21" s="169"/>
      <c r="D21" s="315"/>
      <c r="F21" s="138">
        <v>0</v>
      </c>
      <c r="H21" s="138">
        <v>990000</v>
      </c>
      <c r="J21" s="169"/>
      <c r="K21" s="450"/>
      <c r="L21" s="451"/>
    </row>
    <row r="22" spans="1:12">
      <c r="A22" s="241"/>
      <c r="B22" s="362" t="s">
        <v>717</v>
      </c>
      <c r="C22" s="169"/>
      <c r="D22" s="315"/>
      <c r="F22" s="138">
        <v>104631737</v>
      </c>
      <c r="H22" s="138">
        <v>0</v>
      </c>
      <c r="J22" s="169"/>
      <c r="K22" s="450"/>
      <c r="L22" s="451"/>
    </row>
    <row r="23" spans="1:12">
      <c r="A23" s="241"/>
      <c r="B23" s="362" t="s">
        <v>805</v>
      </c>
      <c r="C23" s="169"/>
      <c r="D23" s="315"/>
      <c r="F23" s="138">
        <v>102379975</v>
      </c>
      <c r="H23" s="138">
        <v>0</v>
      </c>
      <c r="J23" s="169"/>
      <c r="K23" s="450"/>
      <c r="L23" s="451"/>
    </row>
    <row r="24" spans="1:12">
      <c r="A24" s="241"/>
      <c r="B24" s="362" t="s">
        <v>170</v>
      </c>
      <c r="C24" s="169"/>
      <c r="D24" s="315"/>
      <c r="F24" s="138">
        <v>0</v>
      </c>
      <c r="H24" s="138">
        <v>1000000000</v>
      </c>
      <c r="K24" s="169"/>
    </row>
    <row r="25" spans="1:12">
      <c r="A25" s="241"/>
      <c r="B25" s="362" t="s">
        <v>716</v>
      </c>
      <c r="C25" s="169"/>
      <c r="D25" s="366" t="s">
        <v>945</v>
      </c>
      <c r="F25" s="138">
        <v>2868213550</v>
      </c>
      <c r="H25" s="138">
        <v>0</v>
      </c>
      <c r="K25" s="169"/>
    </row>
    <row r="26" spans="1:12">
      <c r="A26" s="241"/>
      <c r="B26" s="362" t="s">
        <v>713</v>
      </c>
      <c r="C26" s="169"/>
      <c r="D26" s="315"/>
      <c r="F26" s="138">
        <f>850000000+1000000000</f>
        <v>1850000000</v>
      </c>
      <c r="H26" s="138">
        <v>2050000000</v>
      </c>
      <c r="K26" s="169"/>
    </row>
    <row r="27" spans="1:12">
      <c r="A27" s="241"/>
      <c r="B27" s="362" t="s">
        <v>715</v>
      </c>
      <c r="C27" s="169"/>
      <c r="D27" s="315"/>
      <c r="F27" s="138">
        <v>14136014310</v>
      </c>
      <c r="H27" s="138">
        <v>0</v>
      </c>
      <c r="K27" s="169"/>
    </row>
    <row r="28" spans="1:12">
      <c r="A28" s="241"/>
      <c r="B28" s="362" t="s">
        <v>714</v>
      </c>
      <c r="C28" s="169"/>
      <c r="D28" s="315"/>
      <c r="F28" s="138">
        <f>2500478000+15000000000-478000</f>
        <v>17500000000</v>
      </c>
      <c r="H28" s="138">
        <v>0</v>
      </c>
      <c r="K28" s="169"/>
    </row>
    <row r="29" spans="1:12" ht="27.75" thickBot="1">
      <c r="A29" s="241"/>
      <c r="B29" s="362" t="s">
        <v>45</v>
      </c>
      <c r="C29" s="169"/>
      <c r="D29" s="244"/>
      <c r="F29" s="238">
        <f>SUM(F16:F28)</f>
        <v>84978639634</v>
      </c>
      <c r="H29" s="238">
        <f>SUM(H16:H28)</f>
        <v>19191012833</v>
      </c>
      <c r="I29" s="156">
        <f>SUM(I16:I28)</f>
        <v>0</v>
      </c>
      <c r="J29" s="156"/>
    </row>
    <row r="30" spans="1:12" ht="13.5" customHeight="1" thickTop="1">
      <c r="A30" s="698"/>
      <c r="B30" s="362"/>
      <c r="C30" s="169"/>
      <c r="D30" s="244"/>
      <c r="F30" s="138"/>
      <c r="H30" s="138"/>
      <c r="I30" s="156"/>
      <c r="J30" s="156"/>
    </row>
    <row r="31" spans="1:12" ht="50.25" customHeight="1">
      <c r="A31" s="698" t="s">
        <v>944</v>
      </c>
      <c r="B31" s="815" t="s">
        <v>946</v>
      </c>
      <c r="C31" s="815"/>
      <c r="D31" s="815"/>
      <c r="E31" s="815"/>
      <c r="F31" s="815"/>
      <c r="G31" s="815"/>
      <c r="H31" s="815"/>
      <c r="I31" s="156"/>
      <c r="J31" s="156"/>
    </row>
    <row r="32" spans="1:12" ht="27.75" thickBot="1">
      <c r="A32" s="366" t="s">
        <v>37</v>
      </c>
      <c r="B32" s="363" t="s">
        <v>172</v>
      </c>
      <c r="C32" s="169"/>
      <c r="E32" s="313"/>
      <c r="F32" s="360">
        <v>1398</v>
      </c>
      <c r="G32" s="242"/>
      <c r="H32" s="360">
        <v>1397</v>
      </c>
      <c r="I32" s="35"/>
    </row>
    <row r="33" spans="1:13">
      <c r="A33" s="368"/>
      <c r="B33" s="362"/>
      <c r="C33" s="169"/>
      <c r="F33" s="361" t="s">
        <v>199</v>
      </c>
      <c r="G33" s="242"/>
      <c r="H33" s="361" t="s">
        <v>199</v>
      </c>
    </row>
    <row r="34" spans="1:13">
      <c r="A34" s="368"/>
      <c r="B34" s="362" t="s">
        <v>173</v>
      </c>
      <c r="C34" s="169"/>
      <c r="D34" s="244"/>
      <c r="F34" s="247">
        <v>13816381843</v>
      </c>
      <c r="H34" s="247">
        <v>4690149047</v>
      </c>
      <c r="I34" s="195"/>
      <c r="J34" s="195"/>
    </row>
    <row r="35" spans="1:13" ht="27.75" thickBot="1">
      <c r="A35" s="368"/>
      <c r="B35" s="362" t="s">
        <v>45</v>
      </c>
      <c r="D35" s="7"/>
      <c r="E35" s="7"/>
      <c r="F35" s="238">
        <f>SUM(F34:F34)</f>
        <v>13816381843</v>
      </c>
      <c r="G35" s="196"/>
      <c r="H35" s="238">
        <f>SUM(H34:H34)</f>
        <v>4690149047</v>
      </c>
      <c r="I35" s="195"/>
      <c r="J35" s="195"/>
    </row>
    <row r="36" spans="1:13" ht="27.75" thickTop="1">
      <c r="A36" s="368"/>
      <c r="B36" s="362"/>
      <c r="C36" s="169"/>
      <c r="D36" s="196"/>
      <c r="I36" s="195"/>
      <c r="J36" s="195"/>
    </row>
    <row r="37" spans="1:13" ht="27.75" thickBot="1">
      <c r="A37" s="366" t="s">
        <v>41</v>
      </c>
      <c r="B37" s="363" t="s">
        <v>18</v>
      </c>
      <c r="C37" s="169"/>
      <c r="E37" s="313"/>
      <c r="F37" s="360">
        <v>1398</v>
      </c>
      <c r="G37" s="242"/>
      <c r="H37" s="360">
        <v>1397</v>
      </c>
      <c r="I37" s="35"/>
    </row>
    <row r="38" spans="1:13">
      <c r="A38" s="368"/>
      <c r="B38" s="139"/>
      <c r="C38" s="169"/>
      <c r="F38" s="361" t="s">
        <v>199</v>
      </c>
      <c r="G38" s="242"/>
      <c r="H38" s="361" t="s">
        <v>199</v>
      </c>
    </row>
    <row r="39" spans="1:13">
      <c r="A39" s="368"/>
      <c r="B39" s="362" t="s">
        <v>966</v>
      </c>
      <c r="C39" s="169"/>
      <c r="F39" s="138">
        <v>2359753</v>
      </c>
      <c r="H39" s="138">
        <v>1168141804</v>
      </c>
    </row>
    <row r="40" spans="1:13">
      <c r="A40" s="368"/>
      <c r="B40" s="362" t="s">
        <v>606</v>
      </c>
      <c r="C40" s="169"/>
      <c r="F40" s="138">
        <v>0</v>
      </c>
      <c r="H40" s="138">
        <v>242067863</v>
      </c>
      <c r="K40" s="169"/>
      <c r="L40" s="169"/>
      <c r="M40" s="169"/>
    </row>
    <row r="41" spans="1:13">
      <c r="A41" s="241"/>
      <c r="B41" s="362" t="s">
        <v>174</v>
      </c>
      <c r="C41" s="169"/>
      <c r="D41" s="244"/>
      <c r="F41" s="138">
        <v>347640247</v>
      </c>
      <c r="H41" s="138">
        <v>40906956</v>
      </c>
      <c r="J41" s="316"/>
      <c r="K41" s="169"/>
      <c r="L41" s="169"/>
      <c r="M41" s="169"/>
    </row>
    <row r="42" spans="1:13" ht="27.75" thickBot="1">
      <c r="A42" s="241"/>
      <c r="B42" s="169"/>
      <c r="C42" s="169"/>
      <c r="D42" s="244"/>
      <c r="F42" s="238">
        <f>SUM(F39:F41)</f>
        <v>350000000</v>
      </c>
      <c r="H42" s="238">
        <f>SUM(H39:H41)</f>
        <v>1451116623</v>
      </c>
      <c r="J42" s="316"/>
    </row>
    <row r="43" spans="1:13" ht="29.25" customHeight="1" thickTop="1">
      <c r="A43" s="7"/>
      <c r="C43" s="169"/>
      <c r="J43" s="169"/>
    </row>
    <row r="44" spans="1:13" ht="29.25" customHeight="1" thickBot="1">
      <c r="A44" s="366" t="s">
        <v>175</v>
      </c>
      <c r="B44" s="363" t="s">
        <v>176</v>
      </c>
      <c r="C44" s="362"/>
      <c r="D44" s="165"/>
      <c r="E44" s="367"/>
      <c r="F44" s="360">
        <v>1398</v>
      </c>
      <c r="G44" s="242"/>
      <c r="H44" s="360">
        <v>1397</v>
      </c>
      <c r="I44" s="35"/>
    </row>
    <row r="45" spans="1:13" ht="29.25" customHeight="1">
      <c r="A45" s="368"/>
      <c r="B45" s="362"/>
      <c r="C45" s="362"/>
      <c r="D45" s="165"/>
      <c r="E45" s="138"/>
      <c r="F45" s="361" t="s">
        <v>199</v>
      </c>
      <c r="G45" s="242"/>
      <c r="H45" s="361" t="s">
        <v>199</v>
      </c>
    </row>
    <row r="46" spans="1:13" ht="29.25" customHeight="1">
      <c r="A46" s="368"/>
      <c r="B46" s="362" t="s">
        <v>608</v>
      </c>
      <c r="C46" s="362"/>
      <c r="D46" s="165"/>
      <c r="E46" s="138"/>
      <c r="F46" s="247">
        <f>8675136691-1353589</f>
        <v>8673783102</v>
      </c>
      <c r="G46" s="242"/>
      <c r="H46" s="247">
        <v>2016416842</v>
      </c>
    </row>
    <row r="47" spans="1:13" ht="29.25" customHeight="1">
      <c r="A47" s="368"/>
      <c r="B47" s="362" t="s">
        <v>607</v>
      </c>
      <c r="C47" s="362"/>
      <c r="D47" s="165"/>
      <c r="E47" s="138"/>
      <c r="F47" s="247">
        <v>0</v>
      </c>
      <c r="G47" s="242"/>
      <c r="H47" s="247">
        <v>139924021</v>
      </c>
    </row>
    <row r="48" spans="1:13" ht="29.25" customHeight="1">
      <c r="A48" s="368"/>
      <c r="B48" s="362" t="s">
        <v>609</v>
      </c>
      <c r="C48" s="362"/>
      <c r="D48" s="165"/>
      <c r="E48" s="138"/>
      <c r="F48" s="364">
        <v>0</v>
      </c>
      <c r="H48" s="364">
        <v>1353589</v>
      </c>
      <c r="J48" s="156"/>
    </row>
    <row r="49" spans="1:12" ht="29.25" customHeight="1" thickBot="1">
      <c r="A49" s="368"/>
      <c r="B49" s="362"/>
      <c r="C49" s="362"/>
      <c r="D49" s="165"/>
      <c r="E49" s="138"/>
      <c r="F49" s="365">
        <f>SUM(F46:F48)</f>
        <v>8673783102</v>
      </c>
      <c r="H49" s="365">
        <f>SUM(H46:H48)</f>
        <v>2157694452</v>
      </c>
      <c r="J49" s="156"/>
    </row>
    <row r="50" spans="1:12" ht="29.25" customHeight="1" thickTop="1">
      <c r="A50" s="7"/>
      <c r="C50" s="169"/>
      <c r="J50" s="156"/>
    </row>
    <row r="51" spans="1:12" ht="29.25" customHeight="1" thickBot="1">
      <c r="A51" s="369" t="s">
        <v>203</v>
      </c>
      <c r="B51" s="370" t="s">
        <v>638</v>
      </c>
      <c r="C51" s="362"/>
      <c r="D51" s="165"/>
      <c r="E51" s="138"/>
      <c r="F51" s="360">
        <v>1398</v>
      </c>
      <c r="G51" s="242"/>
      <c r="H51" s="360">
        <v>1397</v>
      </c>
      <c r="J51" s="156"/>
    </row>
    <row r="52" spans="1:12" ht="29.25" customHeight="1">
      <c r="A52" s="368"/>
      <c r="B52" s="362"/>
      <c r="C52" s="362"/>
      <c r="D52" s="165"/>
      <c r="E52" s="138"/>
      <c r="F52" s="361" t="s">
        <v>199</v>
      </c>
      <c r="G52" s="242"/>
      <c r="H52" s="361" t="s">
        <v>199</v>
      </c>
      <c r="J52" s="156"/>
    </row>
    <row r="53" spans="1:12" ht="29.25" customHeight="1">
      <c r="A53" s="368"/>
      <c r="B53" s="362" t="s">
        <v>171</v>
      </c>
      <c r="C53" s="362"/>
      <c r="D53" s="165"/>
      <c r="E53" s="138"/>
      <c r="F53" s="247">
        <v>374912872</v>
      </c>
      <c r="G53" s="242"/>
      <c r="H53" s="247">
        <v>510191145</v>
      </c>
      <c r="J53" s="156"/>
      <c r="K53" s="139"/>
      <c r="L53" s="139"/>
    </row>
    <row r="54" spans="1:12" ht="29.25" customHeight="1">
      <c r="A54" s="368"/>
      <c r="B54" s="362" t="s">
        <v>606</v>
      </c>
      <c r="C54" s="362"/>
      <c r="D54" s="165"/>
      <c r="E54" s="138"/>
      <c r="F54" s="247">
        <v>1534223657</v>
      </c>
      <c r="G54" s="242"/>
      <c r="H54" s="247">
        <v>51197049</v>
      </c>
      <c r="J54" s="156"/>
      <c r="K54" s="139"/>
      <c r="L54" s="139"/>
    </row>
    <row r="55" spans="1:12" ht="29.25" customHeight="1">
      <c r="A55" s="368"/>
      <c r="B55" s="362" t="s">
        <v>719</v>
      </c>
      <c r="C55" s="362"/>
      <c r="D55" s="165"/>
      <c r="E55" s="138"/>
      <c r="F55" s="247">
        <v>88995434</v>
      </c>
      <c r="G55" s="242"/>
      <c r="H55" s="247">
        <v>36590000</v>
      </c>
      <c r="J55" s="156"/>
      <c r="K55" s="139"/>
      <c r="L55" s="139"/>
    </row>
    <row r="56" spans="1:12" ht="29.25" customHeight="1">
      <c r="A56" s="368"/>
      <c r="B56" s="362" t="s">
        <v>803</v>
      </c>
      <c r="C56" s="362"/>
      <c r="D56" s="165"/>
      <c r="E56" s="138"/>
      <c r="F56" s="247">
        <v>478000</v>
      </c>
      <c r="G56" s="242"/>
      <c r="H56" s="247">
        <v>0</v>
      </c>
      <c r="J56" s="156"/>
      <c r="K56" s="139"/>
      <c r="L56" s="139"/>
    </row>
    <row r="57" spans="1:12" ht="29.25" customHeight="1">
      <c r="A57" s="368"/>
      <c r="B57" s="362" t="s">
        <v>720</v>
      </c>
      <c r="C57" s="362"/>
      <c r="D57" s="165"/>
      <c r="E57" s="138"/>
      <c r="F57" s="247">
        <v>11350000</v>
      </c>
      <c r="G57" s="242"/>
      <c r="H57" s="247">
        <v>0</v>
      </c>
      <c r="J57" s="156"/>
      <c r="K57" s="139"/>
      <c r="L57" s="139"/>
    </row>
    <row r="58" spans="1:12" ht="29.25" customHeight="1">
      <c r="A58" s="368"/>
      <c r="B58" s="362" t="s">
        <v>166</v>
      </c>
      <c r="C58" s="362"/>
      <c r="D58" s="165"/>
      <c r="E58" s="138"/>
      <c r="F58" s="247">
        <v>32678153</v>
      </c>
      <c r="G58" s="242"/>
      <c r="H58" s="247">
        <v>0</v>
      </c>
      <c r="J58" s="156"/>
      <c r="K58" s="139"/>
      <c r="L58" s="139"/>
    </row>
    <row r="59" spans="1:12" ht="29.25" customHeight="1">
      <c r="A59" s="368"/>
      <c r="B59" s="362" t="s">
        <v>713</v>
      </c>
      <c r="C59" s="362"/>
      <c r="D59" s="165"/>
      <c r="E59" s="138"/>
      <c r="F59" s="247">
        <v>99200</v>
      </c>
      <c r="G59" s="242"/>
      <c r="H59" s="247">
        <v>0</v>
      </c>
      <c r="J59" s="156"/>
      <c r="K59" s="139"/>
      <c r="L59" s="139"/>
    </row>
    <row r="60" spans="1:12" ht="29.25" customHeight="1">
      <c r="A60" s="368"/>
      <c r="B60" s="362" t="s">
        <v>608</v>
      </c>
      <c r="C60" s="362"/>
      <c r="D60" s="165"/>
      <c r="E60" s="138"/>
      <c r="F60" s="247">
        <v>1353589</v>
      </c>
      <c r="G60" s="242"/>
      <c r="H60" s="247"/>
      <c r="J60" s="156"/>
      <c r="K60" s="139"/>
      <c r="L60" s="139"/>
    </row>
    <row r="61" spans="1:12" ht="29.25" customHeight="1">
      <c r="A61" s="368"/>
      <c r="B61" s="362" t="s">
        <v>718</v>
      </c>
      <c r="C61" s="362"/>
      <c r="D61" s="165"/>
      <c r="E61" s="138"/>
      <c r="F61" s="247">
        <v>482000</v>
      </c>
      <c r="G61" s="242"/>
      <c r="H61" s="247">
        <v>0</v>
      </c>
      <c r="J61" s="156"/>
      <c r="K61" s="139"/>
      <c r="L61" s="139"/>
    </row>
    <row r="62" spans="1:12" ht="29.25" customHeight="1">
      <c r="A62" s="368"/>
      <c r="B62" s="362" t="s">
        <v>750</v>
      </c>
      <c r="C62" s="362"/>
      <c r="D62" s="165"/>
      <c r="E62" s="138"/>
      <c r="F62" s="247">
        <v>77203825</v>
      </c>
      <c r="G62" s="242"/>
      <c r="H62" s="247">
        <v>0</v>
      </c>
      <c r="J62" s="156"/>
      <c r="K62" s="139"/>
      <c r="L62" s="139"/>
    </row>
    <row r="63" spans="1:12" ht="29.25" customHeight="1">
      <c r="A63" s="368"/>
      <c r="B63" s="139" t="s">
        <v>716</v>
      </c>
      <c r="C63" s="362"/>
      <c r="D63" s="165"/>
      <c r="E63" s="138"/>
      <c r="F63" s="247">
        <v>23901780</v>
      </c>
      <c r="G63" s="242"/>
      <c r="H63" s="247">
        <v>0</v>
      </c>
      <c r="J63" s="156"/>
      <c r="K63" s="139"/>
      <c r="L63" s="139"/>
    </row>
    <row r="64" spans="1:12" ht="29.25" customHeight="1">
      <c r="A64" s="368"/>
      <c r="B64" s="362" t="s">
        <v>625</v>
      </c>
      <c r="C64" s="362"/>
      <c r="D64" s="165"/>
      <c r="E64" s="138"/>
      <c r="F64" s="247">
        <v>269990418</v>
      </c>
      <c r="G64" s="242"/>
      <c r="H64" s="247">
        <v>113243327</v>
      </c>
      <c r="I64" s="195"/>
      <c r="J64" s="195"/>
      <c r="K64" s="139"/>
      <c r="L64" s="139"/>
    </row>
    <row r="65" spans="1:12" ht="29.25" customHeight="1" thickBot="1">
      <c r="A65" s="371"/>
      <c r="B65" s="139"/>
      <c r="C65" s="372"/>
      <c r="D65" s="363"/>
      <c r="E65" s="363"/>
      <c r="F65" s="238">
        <f>SUM(F53:F64)</f>
        <v>2415668928</v>
      </c>
      <c r="H65" s="238">
        <f>SUM(H53:H64)</f>
        <v>711221521</v>
      </c>
      <c r="I65" s="195"/>
      <c r="J65" s="195"/>
      <c r="K65" s="139"/>
      <c r="L65" s="139"/>
    </row>
    <row r="66" spans="1:12" s="36" customFormat="1" ht="29.25" customHeight="1" thickTop="1">
      <c r="A66" s="158">
        <v>-5</v>
      </c>
      <c r="B66" s="158" t="s">
        <v>197</v>
      </c>
      <c r="C66" s="255"/>
      <c r="D66" s="248"/>
      <c r="E66" s="248"/>
      <c r="F66" s="248"/>
      <c r="G66" s="242"/>
      <c r="H66" s="242"/>
      <c r="I66" s="195"/>
      <c r="J66" s="195"/>
    </row>
    <row r="67" spans="1:12" s="36" customFormat="1" ht="29.25" customHeight="1">
      <c r="A67" s="453"/>
      <c r="B67" s="158" t="s">
        <v>198</v>
      </c>
      <c r="C67" s="255"/>
      <c r="D67" s="248"/>
      <c r="E67" s="248"/>
      <c r="F67" s="248"/>
      <c r="G67" s="242"/>
      <c r="H67" s="242"/>
    </row>
    <row r="68" spans="1:12" s="36" customFormat="1" ht="29.25" customHeight="1" thickBot="1">
      <c r="A68" s="382"/>
      <c r="B68" s="383"/>
      <c r="C68" s="383"/>
      <c r="D68" s="378" t="s">
        <v>12</v>
      </c>
      <c r="E68" s="380"/>
      <c r="F68" s="360">
        <v>1398</v>
      </c>
      <c r="G68" s="242"/>
      <c r="H68" s="374">
        <v>1397</v>
      </c>
    </row>
    <row r="69" spans="1:12" s="36" customFormat="1" ht="29.25" customHeight="1">
      <c r="A69" s="382"/>
      <c r="B69" s="383"/>
      <c r="C69" s="383"/>
      <c r="D69" s="380"/>
      <c r="E69" s="380"/>
      <c r="F69" s="361" t="s">
        <v>199</v>
      </c>
      <c r="G69" s="242"/>
      <c r="H69" s="361" t="s">
        <v>199</v>
      </c>
    </row>
    <row r="70" spans="1:12" s="36" customFormat="1" ht="29.25" customHeight="1">
      <c r="A70" s="382"/>
      <c r="B70" s="383" t="s">
        <v>834</v>
      </c>
      <c r="C70" s="383"/>
      <c r="D70" s="384" t="s">
        <v>494</v>
      </c>
      <c r="E70" s="385"/>
      <c r="F70" s="247">
        <f>F79</f>
        <v>2405499914</v>
      </c>
      <c r="G70" s="172"/>
      <c r="H70" s="247">
        <f>H79</f>
        <v>552990000</v>
      </c>
    </row>
    <row r="71" spans="1:12" s="36" customFormat="1" ht="29.25" customHeight="1">
      <c r="A71" s="382"/>
      <c r="B71" s="383" t="s">
        <v>835</v>
      </c>
      <c r="C71" s="383"/>
      <c r="D71" s="384" t="s">
        <v>833</v>
      </c>
      <c r="E71" s="385"/>
      <c r="F71" s="247">
        <f>F85</f>
        <v>15196960720</v>
      </c>
      <c r="G71" s="172"/>
      <c r="H71" s="247">
        <f>H85</f>
        <v>11248020994</v>
      </c>
    </row>
    <row r="72" spans="1:12" s="36" customFormat="1" ht="29.25" customHeight="1" thickBot="1">
      <c r="A72" s="382"/>
      <c r="B72" s="383"/>
      <c r="C72" s="383"/>
      <c r="D72" s="385"/>
      <c r="E72" s="385"/>
      <c r="F72" s="373">
        <f>SUM(F70:F71)</f>
        <v>17602460634</v>
      </c>
      <c r="G72" s="242"/>
      <c r="H72" s="373">
        <f>SUM(H70:H71)</f>
        <v>11801010994</v>
      </c>
    </row>
    <row r="73" spans="1:12" s="36" customFormat="1" ht="29.25" customHeight="1" thickTop="1">
      <c r="A73" s="249"/>
      <c r="B73" s="317"/>
      <c r="C73" s="317"/>
      <c r="D73" s="256"/>
      <c r="E73" s="256"/>
      <c r="F73" s="242"/>
      <c r="G73" s="242"/>
      <c r="H73" s="242"/>
    </row>
    <row r="74" spans="1:12" s="36" customFormat="1" ht="29.25" customHeight="1" thickBot="1">
      <c r="A74" s="369" t="s">
        <v>181</v>
      </c>
      <c r="B74" s="376" t="s">
        <v>836</v>
      </c>
      <c r="C74" s="317"/>
      <c r="D74" s="256"/>
      <c r="E74" s="256"/>
      <c r="F74" s="360">
        <v>1398</v>
      </c>
      <c r="G74" s="242"/>
      <c r="H74" s="360">
        <v>1397</v>
      </c>
    </row>
    <row r="75" spans="1:12" s="36" customFormat="1" ht="29.25" customHeight="1">
      <c r="A75" s="249"/>
      <c r="B75" s="317"/>
      <c r="C75" s="317"/>
      <c r="D75" s="256"/>
      <c r="E75" s="256"/>
      <c r="F75" s="361" t="s">
        <v>199</v>
      </c>
      <c r="G75" s="242"/>
      <c r="H75" s="361" t="s">
        <v>199</v>
      </c>
    </row>
    <row r="76" spans="1:12" s="37" customFormat="1" ht="29.25" customHeight="1">
      <c r="A76" s="379"/>
      <c r="B76" s="375" t="s">
        <v>681</v>
      </c>
      <c r="C76" s="377"/>
      <c r="D76" s="250"/>
      <c r="E76" s="247"/>
      <c r="F76" s="247">
        <v>476240000</v>
      </c>
      <c r="H76" s="247">
        <v>489010000</v>
      </c>
    </row>
    <row r="77" spans="1:12" s="37" customFormat="1" ht="29.25" customHeight="1">
      <c r="A77" s="379"/>
      <c r="B77" s="375" t="s">
        <v>862</v>
      </c>
      <c r="C77" s="377"/>
      <c r="D77" s="250"/>
      <c r="E77" s="247"/>
      <c r="F77" s="247">
        <v>1676000000</v>
      </c>
      <c r="H77" s="247">
        <v>0</v>
      </c>
    </row>
    <row r="78" spans="1:12" s="37" customFormat="1" ht="29.25" customHeight="1">
      <c r="A78" s="379"/>
      <c r="B78" s="375" t="s">
        <v>680</v>
      </c>
      <c r="C78" s="377"/>
      <c r="D78" s="381"/>
      <c r="E78" s="247"/>
      <c r="F78" s="247">
        <v>253259914</v>
      </c>
      <c r="H78" s="247">
        <v>63980000</v>
      </c>
    </row>
    <row r="79" spans="1:12" s="37" customFormat="1" ht="29.25" customHeight="1" thickBot="1">
      <c r="A79" s="379"/>
      <c r="B79" s="375"/>
      <c r="C79" s="377"/>
      <c r="D79" s="381"/>
      <c r="E79" s="247"/>
      <c r="F79" s="373">
        <f>SUM(F76:F78)</f>
        <v>2405499914</v>
      </c>
      <c r="G79" s="172"/>
      <c r="H79" s="373">
        <f>SUM(H76:H78)</f>
        <v>552990000</v>
      </c>
    </row>
    <row r="80" spans="1:12" s="36" customFormat="1" ht="29.25" customHeight="1" thickTop="1">
      <c r="A80" s="249"/>
      <c r="B80" s="317"/>
      <c r="C80" s="317"/>
      <c r="D80" s="256"/>
      <c r="E80" s="256"/>
      <c r="F80" s="242"/>
      <c r="G80" s="242"/>
      <c r="H80" s="242"/>
    </row>
    <row r="81" spans="1:10" s="37" customFormat="1" ht="29.25" customHeight="1" thickBot="1">
      <c r="A81" s="369" t="s">
        <v>837</v>
      </c>
      <c r="B81" s="376" t="s">
        <v>200</v>
      </c>
      <c r="C81" s="377"/>
      <c r="D81"/>
      <c r="E81" s="247"/>
      <c r="F81" s="360">
        <v>1398</v>
      </c>
      <c r="G81" s="242"/>
      <c r="H81" s="360">
        <v>1397</v>
      </c>
    </row>
    <row r="82" spans="1:10" s="37" customFormat="1" ht="29.25" customHeight="1">
      <c r="A82" s="379"/>
      <c r="B82" s="375"/>
      <c r="C82" s="377"/>
      <c r="D82"/>
      <c r="E82" s="247"/>
      <c r="F82" s="361" t="s">
        <v>199</v>
      </c>
      <c r="G82" s="242"/>
      <c r="H82" s="361" t="s">
        <v>199</v>
      </c>
    </row>
    <row r="83" spans="1:10" s="37" customFormat="1" ht="29.25" customHeight="1">
      <c r="A83" s="379"/>
      <c r="B83" s="375" t="s">
        <v>201</v>
      </c>
      <c r="C83" s="377"/>
      <c r="D83" s="381"/>
      <c r="E83" s="247"/>
      <c r="F83" s="247">
        <v>5263217075</v>
      </c>
      <c r="H83" s="247">
        <v>3483844462</v>
      </c>
    </row>
    <row r="84" spans="1:10" s="37" customFormat="1" ht="29.25" customHeight="1">
      <c r="A84" s="379"/>
      <c r="B84" s="375" t="s">
        <v>195</v>
      </c>
      <c r="C84" s="377"/>
      <c r="D84" s="381"/>
      <c r="E84" s="247"/>
      <c r="F84" s="247">
        <v>9933743645</v>
      </c>
      <c r="H84" s="247">
        <f>14031624759-6267448227</f>
        <v>7764176532</v>
      </c>
      <c r="J84" s="171"/>
    </row>
    <row r="85" spans="1:10" s="37" customFormat="1" ht="29.25" customHeight="1" thickBot="1">
      <c r="A85" s="379"/>
      <c r="B85" s="375"/>
      <c r="C85" s="377"/>
      <c r="D85" s="381"/>
      <c r="E85" s="247"/>
      <c r="F85" s="373">
        <f>SUM(F83:F84)</f>
        <v>15196960720</v>
      </c>
      <c r="G85" s="242"/>
      <c r="H85" s="373">
        <f>SUM(H83:H84)</f>
        <v>11248020994</v>
      </c>
      <c r="J85" s="171"/>
    </row>
    <row r="86" spans="1:10" s="37" customFormat="1" ht="29.25" customHeight="1" thickTop="1">
      <c r="A86" s="379"/>
      <c r="B86" s="375"/>
      <c r="C86" s="377"/>
      <c r="D86" s="381"/>
      <c r="E86" s="247"/>
      <c r="F86" s="247"/>
      <c r="H86" s="247"/>
      <c r="J86" s="171"/>
    </row>
    <row r="87" spans="1:10" s="36" customFormat="1" ht="28.5">
      <c r="A87" s="158">
        <v>-6</v>
      </c>
      <c r="B87" s="158" t="s">
        <v>583</v>
      </c>
      <c r="C87" s="383"/>
      <c r="D87" s="380"/>
      <c r="E87" s="380"/>
      <c r="F87" s="380"/>
      <c r="G87" s="206"/>
      <c r="H87" s="206"/>
    </row>
    <row r="88" spans="1:10" s="36" customFormat="1" ht="28.5">
      <c r="A88" s="158"/>
      <c r="B88" s="158" t="s">
        <v>584</v>
      </c>
      <c r="C88" s="383"/>
      <c r="D88" s="380"/>
      <c r="E88" s="380"/>
      <c r="F88" s="380"/>
      <c r="G88" s="206"/>
      <c r="H88" s="386"/>
    </row>
    <row r="89" spans="1:10" s="36" customFormat="1" ht="27.75" thickBot="1">
      <c r="A89" s="382"/>
      <c r="B89" s="383"/>
      <c r="C89" s="383"/>
      <c r="D89" s="378" t="s">
        <v>12</v>
      </c>
      <c r="E89" s="380"/>
      <c r="F89" s="360">
        <v>1398</v>
      </c>
      <c r="G89" s="206"/>
      <c r="H89" s="360">
        <v>1397</v>
      </c>
    </row>
    <row r="90" spans="1:10" s="36" customFormat="1">
      <c r="A90" s="382"/>
      <c r="B90" s="383"/>
      <c r="C90" s="383"/>
      <c r="D90" s="165"/>
      <c r="E90" s="380"/>
      <c r="F90" s="361" t="s">
        <v>199</v>
      </c>
      <c r="G90" s="206"/>
      <c r="H90" s="361" t="s">
        <v>199</v>
      </c>
    </row>
    <row r="91" spans="1:10" s="36" customFormat="1">
      <c r="A91" s="382"/>
      <c r="B91" s="383" t="s">
        <v>488</v>
      </c>
      <c r="C91" s="383"/>
      <c r="D91" s="484" t="s">
        <v>819</v>
      </c>
      <c r="E91" s="385"/>
      <c r="F91" s="247">
        <v>0</v>
      </c>
      <c r="G91" s="247"/>
      <c r="H91" s="247">
        <v>1734077013</v>
      </c>
    </row>
    <row r="92" spans="1:10" s="36" customFormat="1">
      <c r="A92" s="382"/>
      <c r="B92" s="383" t="s">
        <v>845</v>
      </c>
      <c r="C92" s="383"/>
      <c r="D92" s="816" t="s">
        <v>847</v>
      </c>
      <c r="E92" s="385"/>
      <c r="F92" s="247">
        <v>9792901542</v>
      </c>
      <c r="G92" s="247"/>
      <c r="H92" s="247">
        <v>0</v>
      </c>
    </row>
    <row r="93" spans="1:10" s="36" customFormat="1">
      <c r="A93" s="382"/>
      <c r="B93" s="383" t="s">
        <v>846</v>
      </c>
      <c r="C93" s="383"/>
      <c r="D93" s="816"/>
      <c r="E93" s="385"/>
      <c r="F93" s="247">
        <v>356140566</v>
      </c>
      <c r="G93" s="247"/>
      <c r="H93" s="247">
        <v>0</v>
      </c>
    </row>
    <row r="94" spans="1:10" s="36" customFormat="1" ht="27.75" thickBot="1">
      <c r="A94" s="382"/>
      <c r="B94" s="383"/>
      <c r="C94" s="383"/>
      <c r="D94" s="385"/>
      <c r="E94" s="385"/>
      <c r="F94" s="373">
        <f>SUM(F91:F93)</f>
        <v>10149042108</v>
      </c>
      <c r="G94" s="206"/>
      <c r="H94" s="373">
        <f>SUM(H91:H91)</f>
        <v>1734077013</v>
      </c>
    </row>
    <row r="95" spans="1:10" ht="30.75" customHeight="1" thickTop="1">
      <c r="A95" s="484" t="s">
        <v>819</v>
      </c>
      <c r="B95" s="139" t="s">
        <v>830</v>
      </c>
      <c r="C95" s="239"/>
      <c r="D95" s="33"/>
      <c r="E95" s="33"/>
      <c r="F95" s="240"/>
      <c r="G95" s="33"/>
      <c r="H95" s="240"/>
      <c r="I95" s="33"/>
    </row>
    <row r="96" spans="1:10" ht="93" customHeight="1">
      <c r="A96" s="747" t="s">
        <v>847</v>
      </c>
      <c r="B96" s="819" t="s">
        <v>967</v>
      </c>
      <c r="C96" s="819"/>
      <c r="D96" s="819"/>
      <c r="E96" s="819"/>
      <c r="F96" s="819"/>
      <c r="G96" s="819"/>
      <c r="H96" s="819"/>
      <c r="I96" s="33"/>
    </row>
    <row r="97" spans="1:10" ht="30.75" customHeight="1">
      <c r="A97" s="484"/>
      <c r="B97" s="139"/>
      <c r="C97" s="239"/>
      <c r="D97" s="33"/>
      <c r="E97" s="33"/>
      <c r="F97" s="240"/>
      <c r="G97" s="33"/>
      <c r="H97" s="240"/>
      <c r="I97" s="33"/>
    </row>
    <row r="98" spans="1:10" ht="28.5">
      <c r="A98" s="158">
        <v>-7</v>
      </c>
      <c r="B98" s="158" t="s">
        <v>178</v>
      </c>
      <c r="C98" s="139"/>
      <c r="D98" s="165"/>
      <c r="E98" s="138"/>
      <c r="F98" s="138"/>
    </row>
    <row r="99" spans="1:10" ht="27.75" thickBot="1">
      <c r="A99" s="368"/>
      <c r="B99" s="139"/>
      <c r="C99" s="139"/>
      <c r="D99" s="378" t="s">
        <v>12</v>
      </c>
      <c r="E99" s="367"/>
      <c r="F99" s="360">
        <v>1398</v>
      </c>
      <c r="G99" s="242"/>
      <c r="H99" s="360">
        <v>1397</v>
      </c>
      <c r="I99" s="35"/>
    </row>
    <row r="100" spans="1:10">
      <c r="A100" s="368"/>
      <c r="B100" s="139"/>
      <c r="C100" s="139"/>
      <c r="D100" s="165"/>
      <c r="E100" s="138"/>
      <c r="F100" s="361" t="s">
        <v>199</v>
      </c>
      <c r="G100" s="242"/>
      <c r="H100" s="361" t="s">
        <v>199</v>
      </c>
    </row>
    <row r="101" spans="1:10">
      <c r="A101" s="368"/>
      <c r="B101" s="139" t="s">
        <v>179</v>
      </c>
      <c r="C101" s="139"/>
      <c r="D101" s="484" t="s">
        <v>491</v>
      </c>
      <c r="E101" s="138"/>
      <c r="F101" s="138">
        <f>F111</f>
        <v>605131824</v>
      </c>
      <c r="H101" s="138">
        <f>H111</f>
        <v>2783019824</v>
      </c>
    </row>
    <row r="102" spans="1:10">
      <c r="A102" s="368"/>
      <c r="B102" s="139" t="s">
        <v>180</v>
      </c>
      <c r="C102" s="139"/>
      <c r="D102" s="484" t="s">
        <v>492</v>
      </c>
      <c r="E102" s="138"/>
      <c r="F102" s="138">
        <f>F118</f>
        <v>897702535</v>
      </c>
      <c r="H102" s="138">
        <f>H118</f>
        <v>445102535</v>
      </c>
    </row>
    <row r="103" spans="1:10" ht="27.75" thickBot="1">
      <c r="A103" s="368"/>
      <c r="B103" s="139"/>
      <c r="C103" s="139"/>
      <c r="D103" s="452"/>
      <c r="E103" s="138"/>
      <c r="F103" s="238">
        <f>SUM(F101:F102)</f>
        <v>1502834359</v>
      </c>
      <c r="H103" s="238">
        <f>SUM(H101:H102)</f>
        <v>3228122359</v>
      </c>
      <c r="J103" s="243">
        <f>F103-ت!E11</f>
        <v>0</v>
      </c>
    </row>
    <row r="104" spans="1:10" ht="33" customHeight="1" thickTop="1">
      <c r="A104" s="368"/>
      <c r="B104" s="139"/>
      <c r="C104" s="139"/>
      <c r="D104" s="452"/>
      <c r="E104" s="138"/>
      <c r="F104" s="138"/>
      <c r="H104" s="138"/>
    </row>
    <row r="105" spans="1:10" ht="33" customHeight="1">
      <c r="A105" s="369" t="s">
        <v>491</v>
      </c>
      <c r="B105" s="363" t="s">
        <v>182</v>
      </c>
      <c r="C105" s="139"/>
      <c r="D105" s="452"/>
      <c r="E105" s="138"/>
      <c r="F105" s="138"/>
      <c r="H105" s="138"/>
    </row>
    <row r="106" spans="1:10" ht="33" customHeight="1" thickBot="1">
      <c r="A106" s="368" t="s">
        <v>116</v>
      </c>
      <c r="B106" s="139"/>
      <c r="C106" s="139"/>
      <c r="D106" s="485" t="s">
        <v>24</v>
      </c>
      <c r="E106" s="138"/>
      <c r="F106" s="360">
        <v>1398</v>
      </c>
      <c r="G106" s="242"/>
      <c r="H106" s="360">
        <v>1397</v>
      </c>
      <c r="I106" s="35"/>
    </row>
    <row r="107" spans="1:10" ht="33" customHeight="1">
      <c r="A107" s="368"/>
      <c r="B107" s="139"/>
      <c r="C107" s="139"/>
      <c r="D107" s="139"/>
      <c r="E107" s="138"/>
      <c r="F107" s="361" t="s">
        <v>199</v>
      </c>
      <c r="G107" s="242"/>
      <c r="H107" s="361" t="s">
        <v>199</v>
      </c>
    </row>
    <row r="108" spans="1:10" ht="33" customHeight="1">
      <c r="A108" s="368"/>
      <c r="B108" s="139" t="s">
        <v>183</v>
      </c>
      <c r="C108" s="139"/>
      <c r="D108" s="813" t="s">
        <v>957</v>
      </c>
      <c r="E108" s="138"/>
      <c r="F108" s="138">
        <f>'مانده پرداختهای غیر قطعی جا'!E27</f>
        <v>422000000</v>
      </c>
      <c r="H108" s="138">
        <v>65000000</v>
      </c>
    </row>
    <row r="109" spans="1:10" ht="33" customHeight="1">
      <c r="A109" s="368"/>
      <c r="B109" s="139" t="s">
        <v>184</v>
      </c>
      <c r="C109" s="139"/>
      <c r="D109" s="813"/>
      <c r="E109" s="138"/>
      <c r="F109" s="138">
        <f>'مانده پرداختهای غیر قطعی سن'!E6</f>
        <v>2500000</v>
      </c>
      <c r="H109" s="138">
        <v>187000000</v>
      </c>
      <c r="J109" s="169"/>
    </row>
    <row r="110" spans="1:10" ht="33" customHeight="1">
      <c r="A110" s="368"/>
      <c r="B110" s="139" t="s">
        <v>185</v>
      </c>
      <c r="C110" s="139"/>
      <c r="D110" s="813"/>
      <c r="E110" s="138"/>
      <c r="F110" s="138">
        <f>'مانده پرداختهای غیر قطعی سن'!E16</f>
        <v>180631824</v>
      </c>
      <c r="H110" s="138">
        <v>2531019824</v>
      </c>
    </row>
    <row r="111" spans="1:10" ht="33" customHeight="1" thickBot="1">
      <c r="A111" s="368"/>
      <c r="B111" s="139"/>
      <c r="C111" s="139"/>
      <c r="D111" s="452"/>
      <c r="E111" s="138"/>
      <c r="F111" s="238">
        <f>SUM(F108:F110)</f>
        <v>605131824</v>
      </c>
      <c r="H111" s="238">
        <f>SUM(H108:H110)</f>
        <v>2783019824</v>
      </c>
    </row>
    <row r="112" spans="1:10" ht="33" customHeight="1" thickTop="1">
      <c r="A112" s="139"/>
      <c r="B112" s="139"/>
      <c r="C112" s="139"/>
      <c r="D112" s="139"/>
      <c r="E112" s="138"/>
      <c r="F112" s="139"/>
      <c r="G112" s="7"/>
      <c r="H112" s="139"/>
      <c r="I112" s="7"/>
    </row>
    <row r="113" spans="1:9" ht="33" customHeight="1">
      <c r="A113" s="139"/>
      <c r="B113" s="139"/>
      <c r="C113" s="139"/>
      <c r="D113" s="165"/>
      <c r="E113" s="138"/>
      <c r="F113" s="139"/>
      <c r="G113" s="7"/>
      <c r="H113" s="139"/>
      <c r="I113" s="7"/>
    </row>
    <row r="114" spans="1:9" ht="33" customHeight="1" thickBot="1">
      <c r="A114" s="369" t="s">
        <v>492</v>
      </c>
      <c r="B114" s="363" t="s">
        <v>186</v>
      </c>
      <c r="C114" s="139"/>
      <c r="D114" s="485" t="s">
        <v>24</v>
      </c>
      <c r="E114" s="138"/>
      <c r="F114" s="360">
        <v>1398</v>
      </c>
      <c r="G114" s="242"/>
      <c r="H114" s="360">
        <v>1397</v>
      </c>
      <c r="I114" s="35"/>
    </row>
    <row r="115" spans="1:9" ht="33" customHeight="1">
      <c r="A115" s="368"/>
      <c r="B115" s="139"/>
      <c r="C115" s="139"/>
      <c r="D115" s="165"/>
      <c r="E115" s="138"/>
      <c r="F115" s="361" t="s">
        <v>199</v>
      </c>
      <c r="G115" s="242"/>
      <c r="H115" s="361" t="s">
        <v>199</v>
      </c>
    </row>
    <row r="116" spans="1:9" ht="33" customHeight="1">
      <c r="A116" s="368"/>
      <c r="B116" s="139" t="s">
        <v>187</v>
      </c>
      <c r="C116" s="139"/>
      <c r="D116" s="813" t="s">
        <v>957</v>
      </c>
      <c r="E116" s="138"/>
      <c r="F116" s="138">
        <f>'مانده پرداختهای غیر قطعی جا'!E29</f>
        <v>477600000</v>
      </c>
      <c r="H116" s="138">
        <v>25000000</v>
      </c>
    </row>
    <row r="117" spans="1:9" ht="33" customHeight="1">
      <c r="A117" s="368"/>
      <c r="B117" s="139" t="s">
        <v>188</v>
      </c>
      <c r="C117" s="139"/>
      <c r="D117" s="813"/>
      <c r="E117" s="138"/>
      <c r="F117" s="138">
        <f>'مانده پرداختهای غیر قطعی سن'!E22</f>
        <v>420102535</v>
      </c>
      <c r="H117" s="138">
        <v>420102535</v>
      </c>
    </row>
    <row r="118" spans="1:9" ht="33" customHeight="1" thickBot="1">
      <c r="A118" s="368"/>
      <c r="B118" s="139"/>
      <c r="C118" s="139"/>
      <c r="D118" s="452"/>
      <c r="E118" s="138"/>
      <c r="F118" s="238">
        <f>SUM(F116:F117)</f>
        <v>897702535</v>
      </c>
      <c r="H118" s="238">
        <f>SUM(H116:H117)</f>
        <v>445102535</v>
      </c>
    </row>
    <row r="119" spans="1:9" ht="33" customHeight="1" thickTop="1">
      <c r="A119" s="241"/>
      <c r="D119" s="244"/>
    </row>
    <row r="120" spans="1:9">
      <c r="A120" s="241"/>
      <c r="D120" s="244"/>
    </row>
    <row r="121" spans="1:9">
      <c r="A121" s="241"/>
      <c r="D121" s="244"/>
    </row>
    <row r="122" spans="1:9">
      <c r="A122" s="241"/>
      <c r="D122" s="244"/>
    </row>
    <row r="123" spans="1:9">
      <c r="A123" s="241"/>
      <c r="D123" s="244"/>
    </row>
    <row r="124" spans="1:9">
      <c r="A124" s="241"/>
      <c r="D124" s="244"/>
    </row>
    <row r="125" spans="1:9">
      <c r="A125" s="241"/>
      <c r="D125" s="244"/>
    </row>
    <row r="126" spans="1:9">
      <c r="A126" s="241"/>
      <c r="D126" s="244"/>
    </row>
    <row r="127" spans="1:9">
      <c r="A127" s="241"/>
      <c r="D127" s="244"/>
    </row>
    <row r="128" spans="1:9">
      <c r="A128" s="241"/>
      <c r="D128" s="244"/>
    </row>
    <row r="129" spans="1:10">
      <c r="A129" s="241"/>
      <c r="D129" s="244"/>
    </row>
    <row r="130" spans="1:10">
      <c r="A130" s="814" t="s">
        <v>515</v>
      </c>
      <c r="B130" s="814"/>
      <c r="C130" s="814"/>
      <c r="D130" s="814"/>
      <c r="E130" s="814"/>
      <c r="F130" s="814"/>
      <c r="G130" s="814"/>
      <c r="H130" s="814"/>
    </row>
    <row r="131" spans="1:10" s="36" customFormat="1" ht="22.5" customHeight="1">
      <c r="A131" s="158">
        <v>-8</v>
      </c>
      <c r="B131" s="158" t="s">
        <v>93</v>
      </c>
      <c r="C131" s="456"/>
      <c r="D131" s="153"/>
      <c r="E131" s="153"/>
      <c r="F131" s="153"/>
      <c r="G131" s="195"/>
      <c r="H131" s="195"/>
    </row>
    <row r="132" spans="1:10" s="36" customFormat="1" ht="22.5" customHeight="1">
      <c r="A132" s="453"/>
      <c r="B132" s="158" t="s">
        <v>387</v>
      </c>
      <c r="C132" s="456"/>
      <c r="D132" s="153"/>
      <c r="E132" s="153"/>
      <c r="F132" s="153"/>
      <c r="G132" s="195"/>
      <c r="H132" s="195"/>
    </row>
    <row r="133" spans="1:10" ht="22.5" customHeight="1" thickBot="1">
      <c r="A133" s="369" t="s">
        <v>495</v>
      </c>
      <c r="B133" s="457" t="s">
        <v>656</v>
      </c>
      <c r="C133" s="362"/>
      <c r="D133" s="378" t="s">
        <v>12</v>
      </c>
      <c r="E133" s="138"/>
      <c r="F133" s="360">
        <v>1398</v>
      </c>
      <c r="H133" s="360">
        <v>1397</v>
      </c>
    </row>
    <row r="134" spans="1:10" ht="22.5" customHeight="1">
      <c r="A134" s="458"/>
      <c r="B134" s="139"/>
      <c r="C134" s="362"/>
      <c r="D134" s="165"/>
      <c r="E134" s="138"/>
      <c r="F134" s="361" t="s">
        <v>199</v>
      </c>
      <c r="H134" s="361" t="s">
        <v>199</v>
      </c>
    </row>
    <row r="135" spans="1:10" ht="22.5" customHeight="1">
      <c r="A135" s="458"/>
      <c r="B135" s="139" t="s">
        <v>657</v>
      </c>
      <c r="C135" s="362"/>
      <c r="D135" s="805" t="s">
        <v>676</v>
      </c>
      <c r="E135" s="138"/>
      <c r="F135" s="247">
        <v>329197500000</v>
      </c>
      <c r="H135" s="247">
        <v>329197500000</v>
      </c>
    </row>
    <row r="136" spans="1:10" ht="22.5" customHeight="1">
      <c r="A136" s="458"/>
      <c r="B136" s="139" t="s">
        <v>658</v>
      </c>
      <c r="C136" s="362"/>
      <c r="D136" s="805"/>
      <c r="E136" s="138"/>
      <c r="F136" s="247">
        <v>21000000000</v>
      </c>
      <c r="H136" s="247">
        <v>21000000000</v>
      </c>
      <c r="J136" s="34"/>
    </row>
    <row r="137" spans="1:10" ht="22.5" customHeight="1">
      <c r="A137" s="458"/>
      <c r="B137" s="139" t="s">
        <v>659</v>
      </c>
      <c r="C137" s="362"/>
      <c r="D137" s="805"/>
      <c r="E137" s="138"/>
      <c r="F137" s="247">
        <v>200000000000</v>
      </c>
      <c r="H137" s="247">
        <v>200000000000</v>
      </c>
    </row>
    <row r="138" spans="1:10" ht="22.5" customHeight="1">
      <c r="A138" s="458"/>
      <c r="B138" s="139" t="s">
        <v>660</v>
      </c>
      <c r="C138" s="362"/>
      <c r="D138" s="805"/>
      <c r="E138" s="138"/>
      <c r="F138" s="247">
        <v>10050000000</v>
      </c>
      <c r="H138" s="247">
        <v>10050000000</v>
      </c>
    </row>
    <row r="139" spans="1:10" ht="22.5" customHeight="1" thickBot="1">
      <c r="A139" s="458"/>
      <c r="B139" s="139"/>
      <c r="C139" s="362"/>
      <c r="D139" s="165"/>
      <c r="E139" s="138"/>
      <c r="F139" s="373">
        <f>SUM(F135:F138)</f>
        <v>560247500000</v>
      </c>
      <c r="H139" s="373">
        <f>SUM(H135:H138)</f>
        <v>560247500000</v>
      </c>
      <c r="J139" s="169">
        <f>F139-'دارایی ثابت مشهود'!H8</f>
        <v>0</v>
      </c>
    </row>
    <row r="140" spans="1:10" ht="22.5" customHeight="1" thickTop="1">
      <c r="A140" s="369" t="s">
        <v>676</v>
      </c>
      <c r="B140" s="139" t="s">
        <v>700</v>
      </c>
      <c r="C140" s="169"/>
      <c r="F140" s="172"/>
      <c r="J140" s="169"/>
    </row>
    <row r="141" spans="1:10" ht="22.5" customHeight="1">
      <c r="A141" s="246"/>
      <c r="C141" s="169"/>
      <c r="F141" s="172"/>
      <c r="J141" s="169"/>
    </row>
    <row r="142" spans="1:10" ht="22.5" customHeight="1" thickBot="1">
      <c r="A142" s="369" t="s">
        <v>496</v>
      </c>
      <c r="B142" s="457" t="s">
        <v>661</v>
      </c>
      <c r="C142" s="362"/>
      <c r="D142" s="378" t="s">
        <v>12</v>
      </c>
      <c r="E142" s="138"/>
      <c r="F142" s="360">
        <v>1398</v>
      </c>
      <c r="G142" s="242"/>
      <c r="H142" s="360">
        <v>1397</v>
      </c>
    </row>
    <row r="143" spans="1:10" ht="22.5" customHeight="1">
      <c r="A143" s="458"/>
      <c r="B143" s="139"/>
      <c r="C143" s="362"/>
      <c r="D143" s="165"/>
      <c r="E143" s="138"/>
      <c r="F143" s="361" t="s">
        <v>199</v>
      </c>
      <c r="G143" s="242"/>
      <c r="H143" s="361" t="s">
        <v>199</v>
      </c>
    </row>
    <row r="144" spans="1:10" ht="22.5" customHeight="1">
      <c r="A144" s="246"/>
      <c r="B144" s="139" t="s">
        <v>692</v>
      </c>
      <c r="C144" s="362"/>
      <c r="D144" s="805"/>
      <c r="E144" s="138"/>
      <c r="F144" s="247">
        <v>185900000000</v>
      </c>
      <c r="G144" s="242"/>
      <c r="H144" s="247">
        <v>185900000000</v>
      </c>
      <c r="J144" s="172"/>
    </row>
    <row r="145" spans="1:16" ht="22.5" customHeight="1">
      <c r="A145" s="246"/>
      <c r="B145" s="139" t="s">
        <v>689</v>
      </c>
      <c r="C145" s="362"/>
      <c r="D145" s="805"/>
      <c r="E145" s="138"/>
      <c r="F145" s="247">
        <v>23400000000</v>
      </c>
      <c r="G145" s="242"/>
      <c r="H145" s="247">
        <v>23400000000</v>
      </c>
    </row>
    <row r="146" spans="1:16" ht="22.5" customHeight="1">
      <c r="A146" s="246"/>
      <c r="B146" s="139" t="s">
        <v>691</v>
      </c>
      <c r="C146" s="362"/>
      <c r="D146" s="805"/>
      <c r="E146" s="138"/>
      <c r="F146" s="247">
        <v>69999968880</v>
      </c>
      <c r="G146" s="242"/>
      <c r="H146" s="247">
        <v>69999968880</v>
      </c>
    </row>
    <row r="147" spans="1:16" ht="22.5" customHeight="1">
      <c r="A147" s="246"/>
      <c r="B147" s="139" t="s">
        <v>690</v>
      </c>
      <c r="C147" s="362"/>
      <c r="D147" s="805"/>
      <c r="E147" s="138"/>
      <c r="F147" s="247">
        <v>19710000000</v>
      </c>
      <c r="G147" s="242"/>
      <c r="H147" s="247">
        <v>19710000000</v>
      </c>
    </row>
    <row r="148" spans="1:16" ht="22.5" customHeight="1">
      <c r="A148" s="246"/>
      <c r="B148" s="139" t="s">
        <v>693</v>
      </c>
      <c r="C148" s="362"/>
      <c r="D148" s="805"/>
      <c r="E148" s="138"/>
      <c r="F148" s="247">
        <f>16208369726-3168609726</f>
        <v>13039760000</v>
      </c>
      <c r="G148" s="242"/>
      <c r="H148" s="247">
        <f>16208369726-3168609726</f>
        <v>13039760000</v>
      </c>
      <c r="J148" s="169"/>
      <c r="K148" s="169"/>
    </row>
    <row r="149" spans="1:16" ht="22.5" customHeight="1">
      <c r="A149" s="246"/>
      <c r="B149" s="139" t="s">
        <v>662</v>
      </c>
      <c r="C149" s="362"/>
      <c r="D149" s="805"/>
      <c r="E149" s="138"/>
      <c r="F149" s="247">
        <f>24057940000+2752000000</f>
        <v>26809940000</v>
      </c>
      <c r="G149" s="242"/>
      <c r="H149" s="247">
        <v>26809940000</v>
      </c>
      <c r="J149" s="459"/>
      <c r="K149" s="169"/>
    </row>
    <row r="150" spans="1:16" ht="22.5" customHeight="1" thickBot="1">
      <c r="A150" s="246"/>
      <c r="B150" s="139"/>
      <c r="C150" s="362"/>
      <c r="D150" s="165"/>
      <c r="E150" s="138"/>
      <c r="F150" s="373">
        <f>SUM(F144:F149)</f>
        <v>338859668880</v>
      </c>
      <c r="H150" s="373">
        <f>SUM(H144:H149)</f>
        <v>338859668880</v>
      </c>
      <c r="J150" s="169">
        <f>F150-'دارایی ثابت مشهود'!H9</f>
        <v>0</v>
      </c>
    </row>
    <row r="151" spans="1:16" ht="21" customHeight="1" thickTop="1">
      <c r="A151" s="318"/>
      <c r="B151" s="807"/>
      <c r="C151" s="807"/>
      <c r="D151" s="807"/>
      <c r="E151" s="807"/>
      <c r="F151" s="807"/>
      <c r="G151" s="807"/>
      <c r="H151" s="807"/>
      <c r="J151" s="806"/>
      <c r="K151" s="807"/>
      <c r="L151" s="807"/>
      <c r="M151" s="807"/>
      <c r="N151" s="807"/>
      <c r="O151" s="807"/>
      <c r="P151" s="807"/>
    </row>
    <row r="152" spans="1:16" ht="22.5" customHeight="1" thickBot="1">
      <c r="A152" s="369" t="s">
        <v>663</v>
      </c>
      <c r="B152" s="457" t="s">
        <v>841</v>
      </c>
      <c r="C152" s="362"/>
      <c r="D152" s="378" t="s">
        <v>12</v>
      </c>
      <c r="E152" s="138"/>
      <c r="F152" s="360">
        <v>1398</v>
      </c>
      <c r="G152" s="206"/>
      <c r="H152"/>
    </row>
    <row r="153" spans="1:16" ht="22.5" customHeight="1">
      <c r="A153" s="458"/>
      <c r="B153" s="139"/>
      <c r="C153" s="362"/>
      <c r="D153" s="165"/>
      <c r="E153" s="138"/>
      <c r="F153" s="361" t="s">
        <v>199</v>
      </c>
      <c r="G153" s="206"/>
      <c r="H153"/>
    </row>
    <row r="154" spans="1:16" ht="22.5" customHeight="1">
      <c r="A154" s="458"/>
      <c r="B154" s="139" t="s">
        <v>838</v>
      </c>
      <c r="C154" s="362"/>
      <c r="D154" s="805"/>
      <c r="E154" s="138"/>
      <c r="F154" s="247">
        <v>17221854597</v>
      </c>
      <c r="G154" s="206"/>
      <c r="H154"/>
    </row>
    <row r="155" spans="1:16" ht="22.5" customHeight="1">
      <c r="A155" s="458"/>
      <c r="B155" s="139" t="s">
        <v>839</v>
      </c>
      <c r="C155" s="362"/>
      <c r="D155" s="805"/>
      <c r="E155" s="138"/>
      <c r="F155" s="247">
        <f>'دارایی ثابت مشهود'!G10</f>
        <v>2909872500</v>
      </c>
      <c r="G155" s="206"/>
      <c r="H155"/>
    </row>
    <row r="156" spans="1:16" ht="22.5" customHeight="1">
      <c r="A156" s="458"/>
      <c r="B156" s="139" t="s">
        <v>840</v>
      </c>
      <c r="C156" s="362"/>
      <c r="D156" s="805"/>
      <c r="E156" s="138"/>
      <c r="F156" s="295">
        <f>'دارایی ثابت مشهود'!F10</f>
        <v>-15530000</v>
      </c>
      <c r="G156" s="206"/>
      <c r="H156"/>
    </row>
    <row r="157" spans="1:16" ht="22.5" customHeight="1" thickBot="1">
      <c r="A157" s="458"/>
      <c r="B157" s="139"/>
      <c r="C157" s="362"/>
      <c r="D157" s="165"/>
      <c r="E157" s="138"/>
      <c r="F157" s="373">
        <f>SUM(F154:F156)</f>
        <v>20116197097</v>
      </c>
      <c r="G157" s="138"/>
      <c r="H157"/>
      <c r="J157" s="169">
        <f>F157-'دارایی ثابت مشهود'!H10</f>
        <v>-1355901000</v>
      </c>
    </row>
    <row r="158" spans="1:16" ht="29.25" customHeight="1" thickTop="1">
      <c r="A158" s="318"/>
      <c r="B158" s="817"/>
      <c r="C158" s="817"/>
      <c r="D158" s="817"/>
      <c r="E158" s="817"/>
      <c r="F158" s="817"/>
      <c r="G158" s="817"/>
      <c r="H158" s="817"/>
      <c r="J158" s="169"/>
    </row>
    <row r="159" spans="1:16" ht="22.5" customHeight="1" thickBot="1">
      <c r="A159" s="369" t="s">
        <v>664</v>
      </c>
      <c r="B159" s="457" t="s">
        <v>665</v>
      </c>
      <c r="C159" s="362"/>
      <c r="D159" s="378" t="s">
        <v>12</v>
      </c>
      <c r="E159" s="138"/>
      <c r="F159" s="360">
        <v>1398</v>
      </c>
      <c r="G159" s="242"/>
      <c r="H159" s="360">
        <v>1397</v>
      </c>
    </row>
    <row r="160" spans="1:16" ht="22.5" customHeight="1">
      <c r="A160" s="458"/>
      <c r="B160" s="139"/>
      <c r="C160" s="362"/>
      <c r="D160" s="165"/>
      <c r="E160" s="138"/>
      <c r="F160" s="361" t="s">
        <v>199</v>
      </c>
      <c r="G160" s="242"/>
      <c r="H160" s="361" t="s">
        <v>199</v>
      </c>
    </row>
    <row r="161" spans="1:10" ht="22.5" customHeight="1">
      <c r="A161" s="458"/>
      <c r="B161" s="139" t="s">
        <v>666</v>
      </c>
      <c r="C161" s="362"/>
      <c r="D161" s="805"/>
      <c r="E161" s="138"/>
      <c r="F161" s="247">
        <v>462000000</v>
      </c>
      <c r="G161" s="242"/>
      <c r="H161" s="247">
        <v>462000000</v>
      </c>
    </row>
    <row r="162" spans="1:10" ht="22.5" customHeight="1">
      <c r="A162" s="458"/>
      <c r="B162" s="139" t="s">
        <v>667</v>
      </c>
      <c r="C162" s="362"/>
      <c r="D162" s="805"/>
      <c r="E162" s="138"/>
      <c r="F162" s="247">
        <v>276000000</v>
      </c>
      <c r="G162" s="242"/>
      <c r="H162" s="247">
        <v>276000000</v>
      </c>
    </row>
    <row r="163" spans="1:10" ht="22.5" customHeight="1">
      <c r="A163" s="458"/>
      <c r="B163" s="139" t="s">
        <v>668</v>
      </c>
      <c r="C163" s="362"/>
      <c r="D163" s="805"/>
      <c r="E163" s="138"/>
      <c r="F163" s="247">
        <f>4569615500+200000000</f>
        <v>4769615500</v>
      </c>
      <c r="G163" s="242"/>
      <c r="H163" s="247">
        <v>4769615500</v>
      </c>
    </row>
    <row r="164" spans="1:10" ht="22.5" customHeight="1" thickBot="1">
      <c r="A164" s="458"/>
      <c r="B164" s="139"/>
      <c r="C164" s="362"/>
      <c r="D164" s="165"/>
      <c r="E164" s="138"/>
      <c r="F164" s="373">
        <f>SUM(F161:F163)</f>
        <v>5507615500</v>
      </c>
      <c r="H164" s="373">
        <f>SUM(H161:H163)</f>
        <v>5507615500</v>
      </c>
      <c r="J164" s="169">
        <f>F164-'دارایی ثابت مشهود'!H11</f>
        <v>0</v>
      </c>
    </row>
    <row r="165" spans="1:10" ht="22.5" customHeight="1" thickTop="1">
      <c r="A165" s="318"/>
      <c r="C165" s="169"/>
      <c r="F165" s="172"/>
      <c r="H165" s="172"/>
      <c r="J165" s="169"/>
    </row>
    <row r="166" spans="1:10" ht="22.5" customHeight="1" thickBot="1">
      <c r="A166" s="369" t="s">
        <v>669</v>
      </c>
      <c r="B166" s="457" t="s">
        <v>842</v>
      </c>
      <c r="C166" s="362"/>
      <c r="D166" s="378" t="s">
        <v>12</v>
      </c>
      <c r="E166" s="138"/>
      <c r="F166" s="360">
        <v>1398</v>
      </c>
      <c r="G166" s="242"/>
      <c r="H166"/>
    </row>
    <row r="167" spans="1:10" ht="22.5" customHeight="1">
      <c r="A167" s="458"/>
      <c r="B167" s="139"/>
      <c r="C167" s="362"/>
      <c r="D167" s="165"/>
      <c r="E167" s="138"/>
      <c r="F167" s="361" t="s">
        <v>199</v>
      </c>
      <c r="G167" s="242"/>
      <c r="H167"/>
    </row>
    <row r="168" spans="1:10" ht="22.5" customHeight="1">
      <c r="A168" s="458"/>
      <c r="B168" s="139" t="s">
        <v>838</v>
      </c>
      <c r="C168" s="362"/>
      <c r="D168" s="805" t="s">
        <v>677</v>
      </c>
      <c r="E168" s="138"/>
      <c r="F168" s="247">
        <f>'دارایی ثابت مشهود'!E12</f>
        <v>351750002</v>
      </c>
      <c r="G168" s="242"/>
      <c r="H168"/>
    </row>
    <row r="169" spans="1:10" ht="22.5" customHeight="1">
      <c r="A169" s="458"/>
      <c r="B169" s="139" t="s">
        <v>843</v>
      </c>
      <c r="C169" s="362"/>
      <c r="D169" s="805"/>
      <c r="E169" s="138"/>
      <c r="F169" s="295">
        <f>'دارایی ثابت مشهود'!F12</f>
        <v>-184100000</v>
      </c>
      <c r="G169" s="242"/>
      <c r="H169"/>
    </row>
    <row r="170" spans="1:10" ht="22.5" customHeight="1" thickBot="1">
      <c r="A170" s="458"/>
      <c r="B170" s="139"/>
      <c r="C170" s="362"/>
      <c r="D170" s="165"/>
      <c r="E170" s="138"/>
      <c r="F170" s="373">
        <f>SUM(F168:F169)</f>
        <v>167650002</v>
      </c>
      <c r="H170"/>
      <c r="J170" s="169">
        <f>F170-'دارایی ثابت مشهود'!H12</f>
        <v>0</v>
      </c>
    </row>
    <row r="171" spans="1:10" ht="22.5" customHeight="1" thickTop="1">
      <c r="A171" s="369" t="s">
        <v>677</v>
      </c>
      <c r="B171" s="139" t="s">
        <v>827</v>
      </c>
      <c r="C171" s="169"/>
      <c r="F171" s="172"/>
      <c r="H171" s="172"/>
      <c r="J171" s="169"/>
    </row>
    <row r="172" spans="1:10" s="36" customFormat="1" ht="25.5" customHeight="1">
      <c r="A172" s="158">
        <v>-9</v>
      </c>
      <c r="B172" s="158" t="s">
        <v>497</v>
      </c>
      <c r="C172" s="380"/>
      <c r="D172" s="380"/>
      <c r="E172" s="380"/>
      <c r="F172" s="380"/>
      <c r="G172" s="206"/>
      <c r="H172" s="206"/>
    </row>
    <row r="173" spans="1:10" s="36" customFormat="1" ht="25.5" customHeight="1" thickBot="1">
      <c r="A173" s="453"/>
      <c r="B173" s="158" t="s">
        <v>498</v>
      </c>
      <c r="C173" s="380"/>
      <c r="D173" s="378" t="s">
        <v>12</v>
      </c>
      <c r="E173" s="380"/>
      <c r="F173" s="360">
        <v>1398</v>
      </c>
      <c r="G173" s="206"/>
      <c r="H173" s="360">
        <v>1397</v>
      </c>
    </row>
    <row r="174" spans="1:10" s="36" customFormat="1" ht="25.5" customHeight="1">
      <c r="A174" s="382"/>
      <c r="B174" s="376"/>
      <c r="C174" s="380"/>
      <c r="D174" s="165"/>
      <c r="E174" s="380"/>
      <c r="F174" s="361" t="s">
        <v>199</v>
      </c>
      <c r="G174" s="206"/>
      <c r="H174" s="361" t="s">
        <v>199</v>
      </c>
    </row>
    <row r="175" spans="1:10" s="36" customFormat="1" ht="25.5" customHeight="1">
      <c r="A175" s="382"/>
      <c r="B175" s="376" t="s">
        <v>815</v>
      </c>
      <c r="C175" s="380"/>
      <c r="D175" s="250" t="s">
        <v>678</v>
      </c>
      <c r="E175" s="380"/>
      <c r="F175" s="247">
        <f>'دارایی نامشهود'!N9</f>
        <v>27035977951</v>
      </c>
      <c r="G175" s="206"/>
      <c r="H175" s="247">
        <f>'دارایی نامشهود'!O9</f>
        <v>26828450000</v>
      </c>
    </row>
    <row r="176" spans="1:10" s="36" customFormat="1" ht="25.5" customHeight="1">
      <c r="A176" s="382"/>
      <c r="B176" s="376" t="s">
        <v>204</v>
      </c>
      <c r="C176" s="380"/>
      <c r="D176" s="250" t="s">
        <v>816</v>
      </c>
      <c r="E176" s="380"/>
      <c r="F176" s="138">
        <f>'دارایی نامشهود'!N8</f>
        <v>4348230833</v>
      </c>
      <c r="G176" s="206"/>
      <c r="H176" s="138">
        <f>'دارایی نامشهود'!O8</f>
        <v>1515870833</v>
      </c>
    </row>
    <row r="177" spans="1:18" s="36" customFormat="1" ht="25.5" customHeight="1">
      <c r="A177" s="382"/>
      <c r="B177" s="376" t="s">
        <v>751</v>
      </c>
      <c r="C177" s="380"/>
      <c r="D177" s="250"/>
      <c r="E177" s="380"/>
      <c r="F177" s="138">
        <f>'دارایی نامشهود'!N10</f>
        <v>1002800000</v>
      </c>
      <c r="G177" s="206"/>
      <c r="H177" s="138">
        <f>'دارایی نامشهود'!O10</f>
        <v>0</v>
      </c>
    </row>
    <row r="178" spans="1:18" s="36" customFormat="1" ht="25.5" customHeight="1" thickBot="1">
      <c r="A178" s="382"/>
      <c r="B178" s="376"/>
      <c r="C178" s="380"/>
      <c r="D178" s="379"/>
      <c r="E178" s="380"/>
      <c r="F178" s="373">
        <f>SUM(F175:F177)</f>
        <v>32387008784</v>
      </c>
      <c r="G178" s="206"/>
      <c r="H178" s="373">
        <f>SUM(H175:H177)</f>
        <v>28344320833</v>
      </c>
    </row>
    <row r="179" spans="1:18" s="36" customFormat="1" ht="25.5" customHeight="1" thickTop="1">
      <c r="A179" s="382"/>
      <c r="B179" s="376"/>
      <c r="C179" s="380"/>
      <c r="D179" s="379"/>
      <c r="E179" s="380"/>
      <c r="F179" s="247"/>
      <c r="G179" s="206"/>
      <c r="H179" s="247"/>
    </row>
    <row r="180" spans="1:18" s="36" customFormat="1" ht="25.5" customHeight="1" thickBot="1">
      <c r="A180" s="250" t="s">
        <v>678</v>
      </c>
      <c r="B180" s="376" t="s">
        <v>817</v>
      </c>
      <c r="C180" s="380"/>
      <c r="D180"/>
      <c r="E180" s="380"/>
      <c r="F180" s="360">
        <v>1398</v>
      </c>
      <c r="G180" s="206"/>
      <c r="H180" s="360">
        <v>1397</v>
      </c>
    </row>
    <row r="181" spans="1:18" s="36" customFormat="1" ht="25.5" customHeight="1">
      <c r="A181" s="382"/>
      <c r="B181" s="376"/>
      <c r="C181" s="380"/>
      <c r="D181"/>
      <c r="E181" s="380"/>
      <c r="F181" s="361" t="s">
        <v>199</v>
      </c>
      <c r="G181" s="206"/>
      <c r="H181" s="361" t="s">
        <v>199</v>
      </c>
    </row>
    <row r="182" spans="1:18" s="36" customFormat="1" ht="25.5" customHeight="1">
      <c r="A182" s="382"/>
      <c r="B182" s="376" t="s">
        <v>648</v>
      </c>
      <c r="C182" s="380"/>
      <c r="D182" s="250"/>
      <c r="E182" s="380"/>
      <c r="F182" s="247">
        <v>19505000000</v>
      </c>
      <c r="G182" s="206"/>
      <c r="H182" s="247">
        <v>19505000000</v>
      </c>
    </row>
    <row r="183" spans="1:18" s="36" customFormat="1" ht="25.5" customHeight="1">
      <c r="A183" s="382"/>
      <c r="B183" s="376" t="s">
        <v>499</v>
      </c>
      <c r="C183" s="380"/>
      <c r="D183" s="379"/>
      <c r="E183" s="380"/>
      <c r="F183" s="247">
        <f>4688330000+176107000</f>
        <v>4864437000</v>
      </c>
      <c r="G183" s="206"/>
      <c r="H183" s="247">
        <v>4688330000</v>
      </c>
    </row>
    <row r="184" spans="1:18" s="36" customFormat="1" ht="25.5" customHeight="1">
      <c r="A184" s="382"/>
      <c r="B184" s="376" t="s">
        <v>553</v>
      </c>
      <c r="C184" s="380"/>
      <c r="D184" s="379"/>
      <c r="E184" s="380"/>
      <c r="F184" s="247">
        <f>1837120000+14908501+16512450</f>
        <v>1868540951</v>
      </c>
      <c r="G184" s="206"/>
      <c r="H184" s="247">
        <v>1837120000</v>
      </c>
      <c r="N184" s="36" t="s">
        <v>12</v>
      </c>
      <c r="P184" s="36">
        <v>1398</v>
      </c>
      <c r="R184" s="36">
        <v>1397</v>
      </c>
    </row>
    <row r="185" spans="1:18" s="36" customFormat="1" ht="25.5" customHeight="1">
      <c r="A185" s="382"/>
      <c r="B185" s="376" t="s">
        <v>650</v>
      </c>
      <c r="C185" s="380"/>
      <c r="D185" s="379"/>
      <c r="E185" s="380"/>
      <c r="F185" s="247">
        <v>798000000</v>
      </c>
      <c r="G185" s="206"/>
      <c r="H185" s="247">
        <v>798000000</v>
      </c>
      <c r="P185" s="36" t="s">
        <v>199</v>
      </c>
      <c r="R185" s="36" t="s">
        <v>199</v>
      </c>
    </row>
    <row r="186" spans="1:18" s="36" customFormat="1" ht="25.5" customHeight="1" thickBot="1">
      <c r="A186" s="382"/>
      <c r="B186" s="376" t="s">
        <v>20</v>
      </c>
      <c r="C186" s="380"/>
      <c r="D186" s="379"/>
      <c r="E186" s="380"/>
      <c r="F186" s="373">
        <f>SUM(F182:F185)</f>
        <v>27035977951</v>
      </c>
      <c r="G186" s="206"/>
      <c r="H186" s="373">
        <f>SUM(H182:H185)</f>
        <v>26828450000</v>
      </c>
      <c r="N186" s="36" t="s">
        <v>704</v>
      </c>
      <c r="P186" s="36">
        <v>22417736202</v>
      </c>
      <c r="R186" s="36">
        <v>27629533548</v>
      </c>
    </row>
    <row r="187" spans="1:18" s="36" customFormat="1" ht="25.5" customHeight="1" thickTop="1">
      <c r="A187" s="382"/>
      <c r="B187" s="376"/>
      <c r="C187" s="380"/>
      <c r="D187" s="379"/>
      <c r="E187" s="380"/>
      <c r="F187" s="247"/>
      <c r="G187" s="206"/>
      <c r="H187" s="247"/>
      <c r="N187" s="36" t="s">
        <v>812</v>
      </c>
      <c r="P187" s="36">
        <v>14255749000</v>
      </c>
      <c r="R187" s="36">
        <v>0</v>
      </c>
    </row>
    <row r="188" spans="1:18" s="36" customFormat="1" ht="25.5" customHeight="1" thickBot="1">
      <c r="A188" s="250" t="s">
        <v>816</v>
      </c>
      <c r="B188" s="376" t="s">
        <v>818</v>
      </c>
      <c r="C188" s="380"/>
      <c r="D188" s="379"/>
      <c r="E188" s="380"/>
      <c r="F188" s="360">
        <v>1398</v>
      </c>
      <c r="G188" s="206"/>
      <c r="H188" s="360">
        <v>1397</v>
      </c>
      <c r="P188" s="36">
        <v>36673485202</v>
      </c>
      <c r="R188" s="36">
        <v>27629533548</v>
      </c>
    </row>
    <row r="189" spans="1:18" s="36" customFormat="1" ht="25.5" customHeight="1">
      <c r="C189" s="380"/>
      <c r="D189" s="379"/>
      <c r="E189" s="380"/>
      <c r="F189" s="361" t="s">
        <v>199</v>
      </c>
      <c r="G189" s="206"/>
      <c r="H189" s="361" t="s">
        <v>199</v>
      </c>
    </row>
    <row r="190" spans="1:18" s="36" customFormat="1" ht="25.5" customHeight="1">
      <c r="A190" s="382"/>
      <c r="B190" s="380" t="s">
        <v>204</v>
      </c>
      <c r="C190" s="380"/>
      <c r="D190" s="379"/>
      <c r="E190" s="380"/>
      <c r="F190" s="247">
        <f>'دارایی نامشهود'!H8</f>
        <v>4690187500</v>
      </c>
      <c r="G190" s="206"/>
      <c r="H190" s="247">
        <v>1736287500</v>
      </c>
      <c r="N190" s="36" t="s">
        <v>12</v>
      </c>
      <c r="P190" s="36">
        <v>1398</v>
      </c>
      <c r="R190" s="36">
        <v>1397</v>
      </c>
    </row>
    <row r="191" spans="1:18" s="36" customFormat="1" ht="25.5" customHeight="1">
      <c r="A191" s="382"/>
      <c r="B191" s="206" t="s">
        <v>687</v>
      </c>
      <c r="C191" s="380"/>
      <c r="D191" s="250"/>
      <c r="E191" s="380"/>
      <c r="F191" s="454">
        <f>-'دارایی نامشهود'!M8</f>
        <v>-341956667</v>
      </c>
      <c r="G191" s="206"/>
      <c r="H191" s="454">
        <v>-220416667</v>
      </c>
      <c r="P191" s="36" t="s">
        <v>199</v>
      </c>
      <c r="R191" s="36" t="s">
        <v>199</v>
      </c>
    </row>
    <row r="192" spans="1:18" s="36" customFormat="1" ht="25.5" customHeight="1" thickBot="1">
      <c r="A192" s="382"/>
      <c r="B192" s="380" t="s">
        <v>20</v>
      </c>
      <c r="C192" s="380"/>
      <c r="D192" s="380"/>
      <c r="E192" s="380"/>
      <c r="F192" s="373">
        <f>SUM(F190:F191)</f>
        <v>4348230833</v>
      </c>
      <c r="G192" s="206"/>
      <c r="H192" s="373">
        <f>SUM(H182:H191)</f>
        <v>55172772230</v>
      </c>
      <c r="P192" s="36">
        <v>0</v>
      </c>
      <c r="R192" s="36">
        <v>1990154179</v>
      </c>
    </row>
    <row r="193" spans="1:18" ht="25.5" customHeight="1" thickTop="1">
      <c r="A193" s="251"/>
      <c r="B193" s="455"/>
      <c r="C193" s="455"/>
      <c r="D193" s="455"/>
      <c r="E193" s="455"/>
      <c r="F193" s="455"/>
      <c r="G193" s="455"/>
      <c r="H193" s="455"/>
      <c r="N193" s="7" t="s">
        <v>703</v>
      </c>
      <c r="P193" s="7">
        <v>22417736202</v>
      </c>
      <c r="R193" s="7">
        <v>25639379369</v>
      </c>
    </row>
    <row r="194" spans="1:18" s="36" customFormat="1" ht="25.5" customHeight="1">
      <c r="A194" s="158">
        <v>-10</v>
      </c>
      <c r="B194" s="158" t="s">
        <v>205</v>
      </c>
      <c r="C194" s="383"/>
      <c r="D194" s="462"/>
      <c r="E194" s="462"/>
      <c r="F194" s="380"/>
      <c r="G194" s="206"/>
      <c r="H194" s="206"/>
      <c r="P194" s="36">
        <v>22417736202</v>
      </c>
      <c r="R194" s="36">
        <v>27629533548</v>
      </c>
    </row>
    <row r="195" spans="1:18" s="36" customFormat="1" ht="25.5" customHeight="1">
      <c r="A195" s="453"/>
      <c r="B195" s="158" t="s">
        <v>544</v>
      </c>
      <c r="C195" s="380"/>
      <c r="D195" s="380"/>
      <c r="E195" s="380"/>
      <c r="F195" s="380"/>
      <c r="G195" s="206"/>
      <c r="H195" s="386"/>
    </row>
    <row r="196" spans="1:18" s="37" customFormat="1" ht="25.5" customHeight="1" thickBot="1">
      <c r="A196" s="379"/>
      <c r="B196" s="375"/>
      <c r="C196" s="375"/>
      <c r="D196" s="250"/>
      <c r="E196" s="247"/>
      <c r="F196" s="360">
        <v>1398</v>
      </c>
      <c r="G196" s="376"/>
      <c r="H196" s="360">
        <v>1397</v>
      </c>
    </row>
    <row r="197" spans="1:18" s="37" customFormat="1" ht="25.5" customHeight="1">
      <c r="A197" s="379"/>
      <c r="B197" s="375"/>
      <c r="C197" s="375"/>
      <c r="D197" s="250"/>
      <c r="E197" s="247"/>
      <c r="F197" s="361" t="s">
        <v>199</v>
      </c>
      <c r="G197" s="376"/>
      <c r="H197" s="361" t="s">
        <v>199</v>
      </c>
      <c r="P197" s="37">
        <v>1398</v>
      </c>
      <c r="R197" s="37">
        <v>1397</v>
      </c>
    </row>
    <row r="198" spans="1:18" s="37" customFormat="1" ht="25.5" customHeight="1">
      <c r="A198" s="379"/>
      <c r="B198" s="375" t="s">
        <v>191</v>
      </c>
      <c r="C198" s="375"/>
      <c r="D198" s="250"/>
      <c r="E198" s="247"/>
      <c r="F198" s="247">
        <f>H200</f>
        <v>18362300000</v>
      </c>
      <c r="G198" s="376"/>
      <c r="H198" s="247">
        <v>6295300000</v>
      </c>
      <c r="J198" s="170"/>
      <c r="P198" s="37" t="s">
        <v>199</v>
      </c>
      <c r="R198" s="37" t="s">
        <v>199</v>
      </c>
    </row>
    <row r="199" spans="1:18" s="37" customFormat="1" ht="43.5">
      <c r="A199" s="379"/>
      <c r="B199" s="734" t="s">
        <v>682</v>
      </c>
      <c r="C199" s="375"/>
      <c r="D199" s="250"/>
      <c r="E199" s="247"/>
      <c r="F199" s="247">
        <v>6938869258</v>
      </c>
      <c r="G199" s="376"/>
      <c r="H199" s="247">
        <v>12067000000</v>
      </c>
      <c r="J199" s="170"/>
      <c r="P199" s="37">
        <v>22417736202</v>
      </c>
      <c r="R199" s="37">
        <v>18149379369</v>
      </c>
    </row>
    <row r="200" spans="1:18" s="37" customFormat="1" ht="25.5" customHeight="1" thickBot="1">
      <c r="A200" s="379"/>
      <c r="B200" s="375"/>
      <c r="C200" s="375"/>
      <c r="D200" s="381"/>
      <c r="E200" s="247"/>
      <c r="F200" s="672">
        <f>SUM(F198:F199)</f>
        <v>25301169258</v>
      </c>
      <c r="G200" s="463"/>
      <c r="H200" s="373">
        <f>SUM(H198:H199)</f>
        <v>18362300000</v>
      </c>
      <c r="R200" s="37">
        <v>500000000</v>
      </c>
    </row>
    <row r="201" spans="1:18" s="37" customFormat="1" ht="25.5" customHeight="1" thickTop="1">
      <c r="A201" s="379"/>
      <c r="B201" s="375"/>
      <c r="C201" s="375"/>
      <c r="D201" s="381"/>
      <c r="E201" s="247"/>
      <c r="F201" s="464"/>
      <c r="G201" s="463"/>
      <c r="H201" s="247"/>
    </row>
    <row r="202" spans="1:18" s="37" customFormat="1" ht="25.5" customHeight="1">
      <c r="A202" s="379"/>
      <c r="B202" s="375" t="s">
        <v>753</v>
      </c>
      <c r="C202" s="375"/>
      <c r="D202" s="381"/>
      <c r="E202" s="247"/>
      <c r="F202" s="464"/>
      <c r="G202" s="463"/>
      <c r="H202" s="247"/>
      <c r="R202" s="37">
        <v>425000000</v>
      </c>
    </row>
    <row r="203" spans="1:18" s="37" customFormat="1" ht="25.5" customHeight="1">
      <c r="A203" s="252"/>
      <c r="B203" s="253"/>
      <c r="C203" s="253"/>
      <c r="D203" s="254"/>
      <c r="E203" s="172"/>
      <c r="F203" s="170"/>
      <c r="G203" s="171"/>
      <c r="H203" s="172"/>
      <c r="R203" s="37">
        <v>6565000000</v>
      </c>
    </row>
    <row r="204" spans="1:18" s="37" customFormat="1" ht="39.75" customHeight="1">
      <c r="A204" s="158">
        <v>-11</v>
      </c>
      <c r="B204" s="158" t="s">
        <v>409</v>
      </c>
      <c r="C204" s="375"/>
      <c r="D204" s="381"/>
      <c r="E204" s="247"/>
      <c r="F204" s="464"/>
      <c r="G204" s="463"/>
      <c r="H204" s="247"/>
      <c r="P204" s="37">
        <v>22417736202</v>
      </c>
      <c r="R204" s="37">
        <v>25639379369</v>
      </c>
    </row>
    <row r="205" spans="1:18" s="37" customFormat="1" ht="25.5" customHeight="1" thickBot="1">
      <c r="A205" s="379"/>
      <c r="B205" s="375"/>
      <c r="C205" s="375"/>
      <c r="D205" s="378" t="s">
        <v>12</v>
      </c>
      <c r="E205" s="247"/>
      <c r="F205" s="360">
        <v>1398</v>
      </c>
      <c r="G205" s="376"/>
      <c r="H205" s="360">
        <v>1397</v>
      </c>
    </row>
    <row r="206" spans="1:18" s="37" customFormat="1" ht="25.5" customHeight="1">
      <c r="A206" s="379"/>
      <c r="B206" s="375"/>
      <c r="C206" s="375"/>
      <c r="D206" s="381"/>
      <c r="E206" s="247"/>
      <c r="F206" s="361" t="s">
        <v>199</v>
      </c>
      <c r="G206" s="376"/>
      <c r="H206" s="361" t="s">
        <v>199</v>
      </c>
    </row>
    <row r="207" spans="1:18" s="37" customFormat="1" ht="43.5" customHeight="1">
      <c r="A207" s="379"/>
      <c r="B207" s="375" t="s">
        <v>755</v>
      </c>
      <c r="C207" s="375"/>
      <c r="D207" s="250" t="s">
        <v>704</v>
      </c>
      <c r="E207" s="247"/>
      <c r="F207" s="247">
        <v>22417736202</v>
      </c>
      <c r="G207" s="376"/>
      <c r="H207" s="247">
        <f>27629533548+1052501129</f>
        <v>28682034677</v>
      </c>
      <c r="J207" s="171"/>
    </row>
    <row r="208" spans="1:18" s="37" customFormat="1" ht="43.5" customHeight="1">
      <c r="A208" s="379"/>
      <c r="B208" s="375" t="s">
        <v>754</v>
      </c>
      <c r="C208" s="375"/>
      <c r="D208" s="250" t="s">
        <v>812</v>
      </c>
      <c r="E208" s="247"/>
      <c r="F208" s="247">
        <v>14255749000</v>
      </c>
      <c r="G208" s="376"/>
      <c r="H208" s="247">
        <v>0</v>
      </c>
      <c r="J208" s="171"/>
      <c r="K208" s="171"/>
    </row>
    <row r="209" spans="1:13" s="37" customFormat="1" ht="25.5" customHeight="1" thickBot="1">
      <c r="A209" s="379"/>
      <c r="B209" s="375"/>
      <c r="C209" s="375"/>
      <c r="D209" s="381"/>
      <c r="E209" s="247"/>
      <c r="F209" s="373">
        <f>SUM(F207:F208)</f>
        <v>36673485202</v>
      </c>
      <c r="G209" s="463"/>
      <c r="H209" s="373">
        <f>SUM(H207:H208)</f>
        <v>28682034677</v>
      </c>
    </row>
    <row r="210" spans="1:13" s="37" customFormat="1" ht="25.5" customHeight="1" thickTop="1">
      <c r="A210" s="379"/>
      <c r="B210" s="375"/>
      <c r="C210" s="375"/>
      <c r="D210" s="381"/>
      <c r="E210" s="247"/>
      <c r="F210" s="464"/>
      <c r="G210" s="463"/>
      <c r="H210" s="247"/>
    </row>
    <row r="211" spans="1:13" s="37" customFormat="1" ht="78.75" customHeight="1">
      <c r="A211" s="759" t="s">
        <v>704</v>
      </c>
      <c r="B211" s="804" t="s">
        <v>848</v>
      </c>
      <c r="C211" s="804"/>
      <c r="D211" s="804"/>
      <c r="E211" s="804"/>
      <c r="F211" s="804"/>
      <c r="G211" s="804"/>
      <c r="H211" s="804"/>
    </row>
    <row r="212" spans="1:13" s="37" customFormat="1" ht="113.25" customHeight="1">
      <c r="A212" s="759" t="s">
        <v>812</v>
      </c>
      <c r="B212" s="804" t="s">
        <v>971</v>
      </c>
      <c r="C212" s="804"/>
      <c r="D212" s="804"/>
      <c r="E212" s="804"/>
      <c r="F212" s="804"/>
      <c r="G212" s="804"/>
      <c r="H212" s="804"/>
      <c r="J212" s="248"/>
      <c r="K212" s="172"/>
    </row>
    <row r="213" spans="1:13" s="37" customFormat="1" ht="30.75" customHeight="1" thickBot="1">
      <c r="A213" s="250"/>
      <c r="B213" s="671"/>
      <c r="C213" s="671"/>
      <c r="D213"/>
      <c r="E213" s="247"/>
      <c r="F213" s="360">
        <v>1398</v>
      </c>
      <c r="G213" s="671"/>
      <c r="H213" s="671"/>
    </row>
    <row r="214" spans="1:13" s="37" customFormat="1" ht="30.75" customHeight="1">
      <c r="A214" s="250"/>
      <c r="B214" s="671"/>
      <c r="C214" s="671"/>
      <c r="D214" s="381"/>
      <c r="E214" s="247"/>
      <c r="F214" s="361" t="s">
        <v>199</v>
      </c>
      <c r="G214" s="671"/>
      <c r="H214" s="671"/>
    </row>
    <row r="215" spans="1:13" s="37" customFormat="1" ht="40.5" customHeight="1">
      <c r="A215" s="250"/>
      <c r="B215" s="375" t="s">
        <v>864</v>
      </c>
      <c r="C215" s="671"/>
      <c r="D215" s="671"/>
      <c r="E215" s="671"/>
      <c r="F215" s="247">
        <v>1050000000</v>
      </c>
      <c r="G215" s="671"/>
      <c r="H215" s="671"/>
    </row>
    <row r="216" spans="1:13" s="37" customFormat="1" ht="40.5" customHeight="1">
      <c r="A216" s="250"/>
      <c r="B216" s="375" t="s">
        <v>865</v>
      </c>
      <c r="C216" s="671"/>
      <c r="D216" s="671"/>
      <c r="E216" s="671"/>
      <c r="F216" s="247">
        <v>1337649000</v>
      </c>
      <c r="G216" s="671"/>
      <c r="H216" s="671"/>
    </row>
    <row r="217" spans="1:13" s="37" customFormat="1" ht="40.5" customHeight="1">
      <c r="A217" s="250"/>
      <c r="B217" s="375" t="s">
        <v>866</v>
      </c>
      <c r="C217" s="671"/>
      <c r="D217" s="671"/>
      <c r="E217" s="671"/>
      <c r="F217" s="247">
        <v>6270000000</v>
      </c>
      <c r="G217" s="671"/>
      <c r="H217" s="671"/>
    </row>
    <row r="218" spans="1:13" s="37" customFormat="1" ht="40.5" customHeight="1">
      <c r="A218" s="250"/>
      <c r="B218" s="375" t="s">
        <v>867</v>
      </c>
      <c r="C218" s="671"/>
      <c r="D218" s="671"/>
      <c r="E218" s="671"/>
      <c r="F218" s="247">
        <f>3013100000+2585000000</f>
        <v>5598100000</v>
      </c>
      <c r="G218" s="671"/>
      <c r="H218" s="671"/>
    </row>
    <row r="219" spans="1:13" s="37" customFormat="1" ht="38.25" customHeight="1" thickBot="1">
      <c r="A219" s="250"/>
      <c r="B219" s="375"/>
      <c r="C219" s="671"/>
      <c r="D219" s="671"/>
      <c r="E219" s="671"/>
      <c r="F219" s="373">
        <f>SUM(F215:F218)</f>
        <v>14255749000</v>
      </c>
      <c r="G219" s="671"/>
      <c r="H219" s="671"/>
    </row>
    <row r="220" spans="1:13" ht="24" customHeight="1" thickTop="1">
      <c r="A220" s="246"/>
      <c r="C220" s="169"/>
      <c r="J220"/>
      <c r="K220"/>
      <c r="L220"/>
      <c r="M220"/>
    </row>
    <row r="221" spans="1:13" ht="24" customHeight="1">
      <c r="A221" s="158">
        <v>-12</v>
      </c>
      <c r="B221" s="158" t="s">
        <v>547</v>
      </c>
      <c r="C221" s="496"/>
      <c r="D221" s="497"/>
      <c r="E221" s="497"/>
      <c r="F221" s="138"/>
    </row>
    <row r="222" spans="1:13" ht="24" customHeight="1" thickBot="1">
      <c r="A222" s="368"/>
      <c r="B222" s="362"/>
      <c r="C222" s="362"/>
      <c r="D222" s="378" t="s">
        <v>12</v>
      </c>
      <c r="E222" s="138"/>
      <c r="F222" s="360">
        <v>1398</v>
      </c>
      <c r="G222" s="242"/>
      <c r="H222" s="360">
        <v>1397</v>
      </c>
    </row>
    <row r="223" spans="1:13" ht="24" customHeight="1">
      <c r="A223" s="368"/>
      <c r="B223" s="362"/>
      <c r="C223" s="362"/>
      <c r="D223" s="165"/>
      <c r="E223" s="138"/>
      <c r="F223" s="361" t="s">
        <v>199</v>
      </c>
      <c r="G223" s="242"/>
      <c r="H223" s="361" t="s">
        <v>199</v>
      </c>
    </row>
    <row r="224" spans="1:13" ht="24" customHeight="1">
      <c r="A224" s="368"/>
      <c r="B224" s="362" t="s">
        <v>555</v>
      </c>
      <c r="C224" s="362"/>
      <c r="D224" s="498" t="s">
        <v>529</v>
      </c>
      <c r="E224" s="138"/>
      <c r="F224" s="138">
        <f>F236</f>
        <v>3383990149</v>
      </c>
      <c r="H224" s="138">
        <f>H236</f>
        <v>2801993749</v>
      </c>
    </row>
    <row r="225" spans="1:11" ht="24" customHeight="1">
      <c r="A225" s="368"/>
      <c r="B225" s="362" t="s">
        <v>110</v>
      </c>
      <c r="C225" s="362"/>
      <c r="D225" s="498" t="s">
        <v>554</v>
      </c>
      <c r="E225" s="138"/>
      <c r="F225" s="138">
        <f>F244</f>
        <v>8673783102</v>
      </c>
      <c r="H225" s="138">
        <f>H244</f>
        <v>3890417876</v>
      </c>
      <c r="J225" s="362">
        <f>F225-F10</f>
        <v>0</v>
      </c>
    </row>
    <row r="226" spans="1:11" ht="24" customHeight="1" thickBot="1">
      <c r="A226" s="368"/>
      <c r="B226" s="362"/>
      <c r="C226" s="362"/>
      <c r="D226" s="165"/>
      <c r="E226" s="138"/>
      <c r="F226" s="238">
        <f>SUM(F224:F225)</f>
        <v>12057773251</v>
      </c>
      <c r="H226" s="238">
        <f>SUM(H224:H225)</f>
        <v>6692411625</v>
      </c>
      <c r="J226" s="169"/>
    </row>
    <row r="227" spans="1:11" ht="24" customHeight="1" thickTop="1">
      <c r="A227" s="241"/>
      <c r="B227" s="169"/>
      <c r="C227" s="169"/>
    </row>
    <row r="228" spans="1:11" ht="24" customHeight="1" thickBot="1">
      <c r="A228" s="369" t="s">
        <v>529</v>
      </c>
      <c r="B228" s="139" t="s">
        <v>770</v>
      </c>
      <c r="C228" s="465"/>
      <c r="D228" s="153"/>
      <c r="E228" s="138"/>
      <c r="F228" s="360">
        <v>1398</v>
      </c>
      <c r="G228" s="242"/>
      <c r="H228" s="360">
        <v>1397</v>
      </c>
      <c r="I228" s="35"/>
    </row>
    <row r="229" spans="1:11" ht="24" customHeight="1">
      <c r="A229" s="368"/>
      <c r="B229" s="465"/>
      <c r="C229" s="465"/>
      <c r="D229" s="153"/>
      <c r="E229" s="138"/>
      <c r="F229" s="361" t="s">
        <v>199</v>
      </c>
      <c r="G229" s="242"/>
      <c r="H229" s="361" t="s">
        <v>199</v>
      </c>
    </row>
    <row r="230" spans="1:11" customFormat="1" ht="24" customHeight="1">
      <c r="A230" s="466"/>
      <c r="B230" s="362" t="s">
        <v>756</v>
      </c>
      <c r="C230" s="466"/>
      <c r="D230" s="466"/>
      <c r="E230" s="466"/>
      <c r="F230" s="165">
        <v>894000000</v>
      </c>
      <c r="H230" s="138">
        <v>0</v>
      </c>
    </row>
    <row r="231" spans="1:11" customFormat="1" ht="24" customHeight="1">
      <c r="A231" s="466"/>
      <c r="B231" s="362" t="s">
        <v>757</v>
      </c>
      <c r="C231" s="466"/>
      <c r="D231" s="466"/>
      <c r="E231" s="466"/>
      <c r="F231" s="138">
        <v>606488410</v>
      </c>
      <c r="H231" s="138">
        <v>0</v>
      </c>
    </row>
    <row r="232" spans="1:11" customFormat="1" ht="24" customHeight="1">
      <c r="A232" s="466"/>
      <c r="B232" s="362" t="s">
        <v>758</v>
      </c>
      <c r="C232" s="466"/>
      <c r="D232" s="466"/>
      <c r="E232" s="466"/>
      <c r="F232" s="138">
        <v>463528238</v>
      </c>
      <c r="H232" s="138">
        <v>0</v>
      </c>
    </row>
    <row r="233" spans="1:11" customFormat="1" ht="24" customHeight="1">
      <c r="A233" s="466"/>
      <c r="B233" s="362" t="s">
        <v>734</v>
      </c>
      <c r="C233" s="466"/>
      <c r="D233" s="466"/>
      <c r="E233" s="466"/>
      <c r="F233" s="138">
        <v>422280000</v>
      </c>
      <c r="H233" s="138">
        <v>0</v>
      </c>
    </row>
    <row r="234" spans="1:11" customFormat="1" ht="24" customHeight="1">
      <c r="A234" s="466"/>
      <c r="B234" s="362" t="s">
        <v>564</v>
      </c>
      <c r="C234" s="466"/>
      <c r="D234" s="466"/>
      <c r="E234" s="466"/>
      <c r="F234" s="138">
        <v>579338065</v>
      </c>
      <c r="H234" s="138">
        <v>0</v>
      </c>
    </row>
    <row r="235" spans="1:11" ht="24" customHeight="1">
      <c r="A235" s="368"/>
      <c r="B235" s="362" t="s">
        <v>557</v>
      </c>
      <c r="C235" s="362"/>
      <c r="D235" s="165"/>
      <c r="E235" s="138"/>
      <c r="F235" s="138">
        <f>469064236+488249-51197049</f>
        <v>418355436</v>
      </c>
      <c r="H235" s="138">
        <f>531026782+2270966967</f>
        <v>2801993749</v>
      </c>
    </row>
    <row r="236" spans="1:11" ht="24" customHeight="1" thickBot="1">
      <c r="A236" s="368"/>
      <c r="B236" s="362"/>
      <c r="C236" s="362"/>
      <c r="D236" s="165"/>
      <c r="E236" s="138"/>
      <c r="F236" s="238">
        <f>SUM(F230:F235)</f>
        <v>3383990149</v>
      </c>
      <c r="H236" s="238">
        <f>SUM(H230:H235)</f>
        <v>2801993749</v>
      </c>
      <c r="J236" s="628"/>
      <c r="K236" s="169"/>
    </row>
    <row r="237" spans="1:11" ht="24" customHeight="1" thickTop="1">
      <c r="A237" s="241"/>
      <c r="B237" s="169"/>
      <c r="C237" s="169"/>
    </row>
    <row r="238" spans="1:11" ht="24" customHeight="1" thickBot="1">
      <c r="A238" s="369" t="s">
        <v>554</v>
      </c>
      <c r="B238" s="139" t="s">
        <v>207</v>
      </c>
      <c r="C238" s="465"/>
      <c r="D238" s="378" t="s">
        <v>12</v>
      </c>
      <c r="E238" s="138"/>
      <c r="F238" s="360">
        <v>1398</v>
      </c>
      <c r="G238" s="242"/>
      <c r="H238" s="360">
        <v>1397</v>
      </c>
      <c r="I238" s="35"/>
    </row>
    <row r="239" spans="1:11" ht="24" customHeight="1">
      <c r="A239" s="368"/>
      <c r="B239" s="465"/>
      <c r="C239" s="465"/>
      <c r="D239" s="165"/>
      <c r="E239" s="138"/>
      <c r="F239" s="361" t="s">
        <v>199</v>
      </c>
      <c r="G239" s="242"/>
      <c r="H239" s="361" t="s">
        <v>199</v>
      </c>
    </row>
    <row r="240" spans="1:11" ht="24" customHeight="1">
      <c r="A240" s="368"/>
      <c r="B240" s="362" t="s">
        <v>208</v>
      </c>
      <c r="C240" s="465"/>
      <c r="D240" s="165"/>
      <c r="E240" s="138"/>
      <c r="F240" s="165">
        <v>2866585981</v>
      </c>
      <c r="H240" s="165">
        <v>1810247834</v>
      </c>
    </row>
    <row r="241" spans="1:13" ht="24" customHeight="1">
      <c r="A241" s="368"/>
      <c r="B241" s="362" t="s">
        <v>209</v>
      </c>
      <c r="C241" s="465"/>
      <c r="D241" s="467"/>
      <c r="E241" s="138"/>
      <c r="F241" s="165">
        <v>4470197121</v>
      </c>
      <c r="H241" s="165">
        <v>1898170042</v>
      </c>
      <c r="I241" s="7"/>
    </row>
    <row r="242" spans="1:13" ht="24" customHeight="1">
      <c r="A242" s="368"/>
      <c r="B242" s="362" t="s">
        <v>556</v>
      </c>
      <c r="C242" s="465"/>
      <c r="D242" s="467"/>
      <c r="E242" s="138"/>
      <c r="F242" s="165">
        <v>50000000</v>
      </c>
      <c r="H242" s="165">
        <v>50000000</v>
      </c>
      <c r="I242" s="7"/>
    </row>
    <row r="243" spans="1:13" ht="24" customHeight="1">
      <c r="A243" s="368"/>
      <c r="B243" s="362" t="s">
        <v>206</v>
      </c>
      <c r="C243" s="465"/>
      <c r="D243" s="467"/>
      <c r="E243" s="138"/>
      <c r="F243" s="165">
        <v>1287000000</v>
      </c>
      <c r="H243" s="165">
        <v>132000000</v>
      </c>
      <c r="I243" s="7"/>
    </row>
    <row r="244" spans="1:13" ht="24" customHeight="1" thickBot="1">
      <c r="A244" s="368"/>
      <c r="B244" s="465"/>
      <c r="C244" s="465"/>
      <c r="D244" s="467" t="s">
        <v>701</v>
      </c>
      <c r="E244" s="138"/>
      <c r="F244" s="238">
        <f>SUM(F240:F243)</f>
        <v>8673783102</v>
      </c>
      <c r="H244" s="238">
        <f>SUM(H240:H243)</f>
        <v>3890417876</v>
      </c>
      <c r="I244" s="7"/>
    </row>
    <row r="245" spans="1:13" s="36" customFormat="1" ht="24" customHeight="1" thickTop="1">
      <c r="B245" s="242"/>
      <c r="C245" s="255"/>
      <c r="D245" s="248"/>
      <c r="E245" s="248"/>
      <c r="F245" s="172"/>
      <c r="G245" s="242"/>
      <c r="H245" s="242"/>
    </row>
    <row r="246" spans="1:13" s="36" customFormat="1" ht="24" customHeight="1" thickBot="1">
      <c r="A246" s="468" t="s">
        <v>701</v>
      </c>
      <c r="B246" s="139" t="s">
        <v>702</v>
      </c>
      <c r="C246" s="463"/>
      <c r="D246" s="463"/>
      <c r="E246" s="463"/>
      <c r="F246" s="360">
        <v>1398</v>
      </c>
      <c r="G246" s="206"/>
      <c r="H246" s="360">
        <v>1397</v>
      </c>
    </row>
    <row r="247" spans="1:13" s="36" customFormat="1" ht="24" customHeight="1">
      <c r="A247" s="463"/>
      <c r="B247" s="463"/>
      <c r="C247" s="463"/>
      <c r="D247" s="463"/>
      <c r="E247" s="463"/>
      <c r="F247" s="361" t="s">
        <v>199</v>
      </c>
      <c r="G247" s="206"/>
      <c r="H247" s="361" t="s">
        <v>199</v>
      </c>
    </row>
    <row r="248" spans="1:13" s="36" customFormat="1" ht="24" customHeight="1">
      <c r="A248" s="463"/>
      <c r="B248" s="362" t="s">
        <v>558</v>
      </c>
      <c r="C248" s="463"/>
      <c r="D248" s="463"/>
      <c r="E248" s="463"/>
      <c r="F248" s="247">
        <v>381850629</v>
      </c>
      <c r="G248" s="206"/>
      <c r="H248" s="247">
        <v>708652820</v>
      </c>
      <c r="L248" s="169"/>
    </row>
    <row r="249" spans="1:13" s="36" customFormat="1" ht="24" customHeight="1">
      <c r="A249" s="463"/>
      <c r="B249" s="362" t="s">
        <v>759</v>
      </c>
      <c r="C249" s="463"/>
      <c r="D249" s="463"/>
      <c r="E249" s="463"/>
      <c r="F249" s="247">
        <v>2223909950</v>
      </c>
      <c r="G249" s="206"/>
      <c r="H249" s="247">
        <v>0</v>
      </c>
      <c r="L249" s="169"/>
    </row>
    <row r="250" spans="1:13" s="36" customFormat="1" ht="24" customHeight="1">
      <c r="A250" s="463"/>
      <c r="B250" s="362" t="s">
        <v>760</v>
      </c>
      <c r="C250" s="463"/>
      <c r="D250" s="463"/>
      <c r="E250" s="463"/>
      <c r="F250" s="247">
        <v>1130000000</v>
      </c>
      <c r="G250" s="206"/>
      <c r="H250" s="247">
        <v>0</v>
      </c>
      <c r="L250" s="169"/>
    </row>
    <row r="251" spans="1:13" s="36" customFormat="1" ht="24" customHeight="1">
      <c r="A251" s="463"/>
      <c r="B251" s="362" t="s">
        <v>564</v>
      </c>
      <c r="C251" s="463"/>
      <c r="D251" s="463"/>
      <c r="E251" s="463"/>
      <c r="F251" s="247">
        <v>867882488</v>
      </c>
      <c r="G251" s="206"/>
      <c r="H251" s="247">
        <v>1019130000</v>
      </c>
      <c r="L251" s="169"/>
    </row>
    <row r="252" spans="1:13" s="36" customFormat="1" ht="24" customHeight="1">
      <c r="A252" s="463"/>
      <c r="B252" s="362" t="s">
        <v>559</v>
      </c>
      <c r="C252" s="463"/>
      <c r="D252" s="463"/>
      <c r="E252" s="463"/>
      <c r="F252" s="247">
        <v>454584130</v>
      </c>
      <c r="G252" s="206"/>
      <c r="H252" s="247">
        <v>454584130</v>
      </c>
      <c r="L252" s="169"/>
      <c r="M252" s="172"/>
    </row>
    <row r="253" spans="1:13" s="36" customFormat="1" ht="24" customHeight="1">
      <c r="A253" s="463"/>
      <c r="B253" s="362" t="s">
        <v>560</v>
      </c>
      <c r="C253" s="463"/>
      <c r="D253" s="463"/>
      <c r="E253" s="463"/>
      <c r="F253" s="247">
        <v>898444784</v>
      </c>
      <c r="G253" s="206"/>
      <c r="H253" s="247">
        <v>448849607</v>
      </c>
      <c r="L253" s="169"/>
      <c r="M253" s="172"/>
    </row>
    <row r="254" spans="1:13" s="36" customFormat="1" ht="24" customHeight="1">
      <c r="A254" s="463"/>
      <c r="B254" s="362" t="s">
        <v>561</v>
      </c>
      <c r="C254" s="463"/>
      <c r="D254" s="463"/>
      <c r="E254" s="463"/>
      <c r="F254" s="247">
        <v>158444710</v>
      </c>
      <c r="G254" s="206"/>
      <c r="H254" s="247">
        <v>224215872</v>
      </c>
      <c r="L254" s="169"/>
    </row>
    <row r="255" spans="1:13" s="36" customFormat="1" ht="24" customHeight="1">
      <c r="A255" s="463"/>
      <c r="B255" s="362" t="s">
        <v>562</v>
      </c>
      <c r="C255" s="463"/>
      <c r="D255" s="463"/>
      <c r="E255" s="463"/>
      <c r="F255" s="138">
        <v>121837495</v>
      </c>
      <c r="G255" s="206"/>
      <c r="H255" s="165">
        <v>121837495</v>
      </c>
      <c r="L255" s="169"/>
      <c r="M255" s="172"/>
    </row>
    <row r="256" spans="1:13" s="36" customFormat="1" ht="24" customHeight="1">
      <c r="A256" s="463"/>
      <c r="B256" s="362" t="s">
        <v>563</v>
      </c>
      <c r="C256" s="463"/>
      <c r="D256" s="463"/>
      <c r="E256" s="463"/>
      <c r="F256" s="138">
        <v>103500000</v>
      </c>
      <c r="G256" s="138"/>
      <c r="H256" s="165">
        <v>124795000</v>
      </c>
      <c r="L256" s="169"/>
    </row>
    <row r="257" spans="1:12" s="36" customFormat="1" ht="24" customHeight="1">
      <c r="A257" s="463"/>
      <c r="B257" s="362" t="s">
        <v>528</v>
      </c>
      <c r="C257" s="469"/>
      <c r="D257" s="469"/>
      <c r="E257" s="469"/>
      <c r="F257" s="165">
        <v>2338328916</v>
      </c>
      <c r="G257" s="138"/>
      <c r="H257" s="165">
        <v>788352952</v>
      </c>
      <c r="L257" s="169"/>
    </row>
    <row r="258" spans="1:12" s="36" customFormat="1" ht="24" customHeight="1" thickBot="1">
      <c r="A258" s="463"/>
      <c r="B258" s="469"/>
      <c r="C258" s="463"/>
      <c r="D258" s="463"/>
      <c r="E258" s="463"/>
      <c r="F258" s="238">
        <f>SUM(F248:F257)</f>
        <v>8678783102</v>
      </c>
      <c r="G258" s="138"/>
      <c r="H258" s="238">
        <f>SUM(H248:H257)</f>
        <v>3890417876</v>
      </c>
    </row>
    <row r="259" spans="1:12" s="36" customFormat="1" ht="27" customHeight="1" thickTop="1">
      <c r="A259" s="171"/>
      <c r="B259" s="171"/>
      <c r="C259" s="171"/>
      <c r="D259" s="171"/>
      <c r="E259" s="171"/>
      <c r="F259" s="171"/>
      <c r="G259" s="171"/>
      <c r="H259" s="171"/>
    </row>
    <row r="260" spans="1:12" s="36" customFormat="1" ht="28.5">
      <c r="A260" s="158">
        <v>-13</v>
      </c>
      <c r="B260" s="158" t="s">
        <v>585</v>
      </c>
      <c r="C260" s="383"/>
      <c r="D260" s="380"/>
      <c r="E260" s="380"/>
      <c r="F260" s="380"/>
      <c r="G260" s="206"/>
      <c r="H260" s="206"/>
    </row>
    <row r="261" spans="1:12" s="36" customFormat="1" ht="28.5">
      <c r="A261" s="158"/>
      <c r="B261" s="158" t="s">
        <v>586</v>
      </c>
      <c r="C261" s="383"/>
      <c r="D261" s="380"/>
      <c r="E261" s="380"/>
      <c r="F261" s="380"/>
      <c r="G261" s="206"/>
      <c r="H261" s="206"/>
    </row>
    <row r="262" spans="1:12" s="36" customFormat="1" ht="27.75" thickBot="1">
      <c r="A262" s="382"/>
      <c r="B262" s="383"/>
      <c r="C262" s="383"/>
      <c r="D262" s="378" t="s">
        <v>12</v>
      </c>
      <c r="E262" s="380"/>
      <c r="F262" s="360">
        <v>1398</v>
      </c>
      <c r="G262" s="206"/>
      <c r="H262" s="360">
        <v>1397</v>
      </c>
    </row>
    <row r="263" spans="1:12" s="36" customFormat="1">
      <c r="A263" s="382"/>
      <c r="B263" s="383"/>
      <c r="C263" s="383"/>
      <c r="D263" s="165"/>
      <c r="E263" s="380"/>
      <c r="F263" s="361" t="s">
        <v>199</v>
      </c>
      <c r="G263" s="206"/>
      <c r="H263" s="361" t="s">
        <v>199</v>
      </c>
    </row>
    <row r="264" spans="1:12" s="36" customFormat="1">
      <c r="A264" s="382"/>
      <c r="B264" s="383" t="s">
        <v>489</v>
      </c>
      <c r="C264" s="383"/>
      <c r="D264" s="498" t="s">
        <v>820</v>
      </c>
      <c r="E264" s="385"/>
      <c r="F264" s="247">
        <v>0</v>
      </c>
      <c r="G264" s="247"/>
      <c r="H264" s="247">
        <v>1734077013</v>
      </c>
    </row>
    <row r="265" spans="1:12" s="36" customFormat="1">
      <c r="A265" s="382"/>
      <c r="B265" s="383" t="s">
        <v>761</v>
      </c>
      <c r="C265" s="383"/>
      <c r="D265" s="385"/>
      <c r="E265" s="385"/>
      <c r="F265" s="247">
        <v>0</v>
      </c>
      <c r="G265" s="247"/>
      <c r="H265" s="247">
        <v>19272479</v>
      </c>
    </row>
    <row r="266" spans="1:12" s="36" customFormat="1" ht="27.75" thickBot="1">
      <c r="A266" s="382"/>
      <c r="B266" s="383"/>
      <c r="C266" s="383"/>
      <c r="D266" s="385"/>
      <c r="E266" s="385"/>
      <c r="F266" s="373">
        <f>SUM(F264:F265)</f>
        <v>0</v>
      </c>
      <c r="G266" s="247"/>
      <c r="H266" s="373">
        <f>SUM(H264:H265)</f>
        <v>1753349492</v>
      </c>
    </row>
    <row r="267" spans="1:12" s="36" customFormat="1" ht="27.75" thickTop="1">
      <c r="A267" s="382" t="s">
        <v>820</v>
      </c>
      <c r="B267" s="761" t="s">
        <v>831</v>
      </c>
      <c r="C267" s="255"/>
      <c r="D267" s="256"/>
      <c r="E267" s="256"/>
      <c r="F267" s="172"/>
      <c r="G267" s="242"/>
      <c r="H267" s="172"/>
    </row>
    <row r="268" spans="1:12" s="36" customFormat="1">
      <c r="A268" s="249"/>
      <c r="B268" s="139"/>
      <c r="C268" s="255"/>
      <c r="D268" s="256"/>
      <c r="E268" s="256"/>
      <c r="F268" s="172"/>
      <c r="G268" s="242"/>
      <c r="H268" s="172"/>
    </row>
    <row r="269" spans="1:12" s="36" customFormat="1" ht="28.5">
      <c r="A269" s="158">
        <v>-14</v>
      </c>
      <c r="B269" s="158" t="s">
        <v>210</v>
      </c>
      <c r="C269" s="383"/>
      <c r="D269" s="378" t="s">
        <v>12</v>
      </c>
      <c r="E269" s="380"/>
      <c r="F269" s="387">
        <v>1398</v>
      </c>
      <c r="G269" s="206"/>
      <c r="H269" s="387">
        <f>1397</f>
        <v>1397</v>
      </c>
    </row>
    <row r="270" spans="1:12" s="36" customFormat="1" ht="28.5">
      <c r="A270" s="158"/>
      <c r="B270" s="158" t="s">
        <v>211</v>
      </c>
      <c r="C270" s="383"/>
      <c r="D270" s="165"/>
      <c r="E270" s="380"/>
      <c r="F270" s="388" t="s">
        <v>13</v>
      </c>
      <c r="G270" s="206"/>
      <c r="H270" s="388" t="s">
        <v>13</v>
      </c>
    </row>
    <row r="271" spans="1:12" s="36" customFormat="1">
      <c r="A271" s="382"/>
      <c r="B271" s="206" t="s">
        <v>212</v>
      </c>
      <c r="C271" s="206"/>
      <c r="D271" s="498" t="s">
        <v>849</v>
      </c>
      <c r="E271" s="380"/>
      <c r="F271" s="247">
        <v>0</v>
      </c>
      <c r="G271" s="206"/>
      <c r="H271" s="247">
        <v>2607500000</v>
      </c>
    </row>
    <row r="272" spans="1:12" s="36" customFormat="1" ht="27.75" thickBot="1">
      <c r="B272" s="206"/>
      <c r="C272" s="206"/>
      <c r="D272" s="380"/>
      <c r="E272" s="380"/>
      <c r="F272" s="373">
        <f>SUM(F271)</f>
        <v>0</v>
      </c>
      <c r="G272" s="206"/>
      <c r="H272" s="373">
        <f>SUM(H271:H271)</f>
        <v>2607500000</v>
      </c>
    </row>
    <row r="273" spans="1:10" s="36" customFormat="1" ht="36" customHeight="1" thickTop="1">
      <c r="A273" s="498" t="s">
        <v>849</v>
      </c>
      <c r="B273" s="206" t="s">
        <v>850</v>
      </c>
      <c r="C273" s="255"/>
      <c r="D273" s="248"/>
      <c r="E273" s="248"/>
      <c r="F273" s="257"/>
      <c r="G273" s="242"/>
      <c r="H273" s="242"/>
    </row>
    <row r="274" spans="1:10" s="36" customFormat="1">
      <c r="B274" s="242"/>
      <c r="C274" s="255"/>
      <c r="D274" s="248"/>
      <c r="E274" s="248"/>
      <c r="F274" s="257"/>
      <c r="G274" s="242"/>
      <c r="H274" s="242"/>
    </row>
    <row r="275" spans="1:10" s="469" customFormat="1" ht="28.5">
      <c r="A275" s="158">
        <v>-15</v>
      </c>
      <c r="B275" s="158" t="s">
        <v>216</v>
      </c>
      <c r="C275" s="380"/>
      <c r="D275" s="462"/>
      <c r="E275" s="462"/>
      <c r="F275" s="504"/>
      <c r="G275" s="206"/>
      <c r="H275" s="386"/>
    </row>
    <row r="276" spans="1:10" s="469" customFormat="1" ht="29.25" thickBot="1">
      <c r="A276" s="158"/>
      <c r="B276" s="158" t="s">
        <v>217</v>
      </c>
      <c r="C276" s="380"/>
      <c r="D276" s="380"/>
      <c r="E276" s="380"/>
      <c r="F276" s="360">
        <v>1398</v>
      </c>
      <c r="G276" s="206"/>
      <c r="H276" s="360">
        <v>1397</v>
      </c>
    </row>
    <row r="277" spans="1:10" s="469" customFormat="1">
      <c r="A277" s="382"/>
      <c r="B277" s="376"/>
      <c r="C277" s="380"/>
      <c r="D277" s="380"/>
      <c r="E277" s="380"/>
      <c r="F277" s="361" t="s">
        <v>199</v>
      </c>
      <c r="G277" s="206"/>
      <c r="H277" s="361" t="s">
        <v>199</v>
      </c>
    </row>
    <row r="278" spans="1:10" s="469" customFormat="1">
      <c r="A278" s="382"/>
      <c r="B278" s="376" t="s">
        <v>511</v>
      </c>
      <c r="C278" s="380"/>
      <c r="D278" s="380"/>
      <c r="E278" s="380"/>
      <c r="F278" s="247">
        <f>H283</f>
        <v>21394779005</v>
      </c>
      <c r="G278" s="206"/>
      <c r="H278" s="247">
        <v>16971500378</v>
      </c>
    </row>
    <row r="279" spans="1:10" s="469" customFormat="1" ht="17.25" customHeight="1">
      <c r="A279" s="382"/>
      <c r="B279" s="376" t="s">
        <v>512</v>
      </c>
      <c r="C279" s="380"/>
      <c r="D279" s="380"/>
      <c r="E279" s="380"/>
      <c r="F279" s="247"/>
      <c r="G279" s="206"/>
      <c r="H279" s="247"/>
    </row>
    <row r="280" spans="1:10" s="469" customFormat="1">
      <c r="A280" s="382"/>
      <c r="B280" s="380" t="s">
        <v>813</v>
      </c>
      <c r="C280" s="380"/>
      <c r="D280" s="504"/>
      <c r="E280" s="504"/>
      <c r="F280" s="247">
        <v>4231403660</v>
      </c>
      <c r="G280" s="206"/>
      <c r="H280" s="247">
        <v>2459934286</v>
      </c>
    </row>
    <row r="281" spans="1:10" s="469" customFormat="1">
      <c r="A281" s="382"/>
      <c r="B281" s="380" t="s">
        <v>814</v>
      </c>
      <c r="C281" s="380"/>
      <c r="D281" s="504"/>
      <c r="E281" s="504"/>
      <c r="F281" s="247">
        <f>3861748955+245664145</f>
        <v>4107413100</v>
      </c>
      <c r="G281" s="206"/>
      <c r="H281" s="247">
        <v>1963344341</v>
      </c>
    </row>
    <row r="282" spans="1:10" s="469" customFormat="1">
      <c r="A282" s="382"/>
      <c r="B282" s="380" t="s">
        <v>613</v>
      </c>
      <c r="C282" s="380"/>
      <c r="D282" s="504"/>
      <c r="E282" s="504"/>
      <c r="F282" s="319">
        <f>-ابلاغي!J7</f>
        <v>-5164286000</v>
      </c>
      <c r="G282" s="206"/>
      <c r="H282" s="247">
        <v>0</v>
      </c>
    </row>
    <row r="283" spans="1:10" s="469" customFormat="1" ht="33.75" thickBot="1">
      <c r="A283" s="382"/>
      <c r="B283" s="380" t="s">
        <v>218</v>
      </c>
      <c r="C283" s="380"/>
      <c r="D283" s="504"/>
      <c r="E283" s="504"/>
      <c r="F283" s="373">
        <f>SUM(F278:F282)</f>
        <v>24569309765</v>
      </c>
      <c r="G283" s="206"/>
      <c r="H283" s="373">
        <f>SUM(H278:H282)</f>
        <v>21394779005</v>
      </c>
      <c r="J283" s="586">
        <f>24569309765-F283</f>
        <v>0</v>
      </c>
    </row>
    <row r="284" spans="1:10" s="588" customFormat="1" ht="57.75" customHeight="1" thickTop="1">
      <c r="A284" s="587"/>
      <c r="B284" s="818" t="s">
        <v>527</v>
      </c>
      <c r="C284" s="818"/>
      <c r="D284" s="818"/>
      <c r="E284" s="818"/>
      <c r="F284" s="818"/>
      <c r="G284" s="818"/>
      <c r="H284" s="818"/>
    </row>
    <row r="285" spans="1:10" s="36" customFormat="1">
      <c r="A285" s="249"/>
      <c r="B285" s="248"/>
      <c r="C285" s="248"/>
      <c r="D285" s="257"/>
      <c r="E285" s="257"/>
      <c r="F285" s="172"/>
      <c r="G285" s="242"/>
      <c r="H285" s="172"/>
    </row>
    <row r="286" spans="1:10" s="469" customFormat="1" ht="28.5">
      <c r="A286" s="158">
        <v>-16</v>
      </c>
      <c r="B286" s="158" t="s">
        <v>508</v>
      </c>
      <c r="C286" s="380"/>
      <c r="D286" s="462"/>
      <c r="E286" s="462"/>
      <c r="F286" s="504"/>
      <c r="G286" s="206"/>
      <c r="H286" s="386"/>
    </row>
    <row r="287" spans="1:10" s="469" customFormat="1" ht="29.25" thickBot="1">
      <c r="A287" s="158"/>
      <c r="B287" s="158" t="s">
        <v>509</v>
      </c>
      <c r="C287" s="380"/>
      <c r="D287" s="380"/>
      <c r="E287" s="380"/>
      <c r="F287" s="360">
        <v>1398</v>
      </c>
      <c r="G287" s="206"/>
      <c r="H287" s="360">
        <v>1397</v>
      </c>
    </row>
    <row r="288" spans="1:10" s="469" customFormat="1">
      <c r="A288" s="382"/>
      <c r="B288" s="376"/>
      <c r="C288" s="380"/>
      <c r="D288" s="380"/>
      <c r="E288" s="380"/>
      <c r="F288" s="361" t="s">
        <v>199</v>
      </c>
      <c r="G288" s="206"/>
      <c r="H288" s="361" t="s">
        <v>199</v>
      </c>
    </row>
    <row r="289" spans="1:11" s="469" customFormat="1">
      <c r="A289" s="382"/>
      <c r="B289" s="380" t="s">
        <v>510</v>
      </c>
      <c r="C289" s="380"/>
      <c r="D289" s="380"/>
      <c r="E289" s="380"/>
      <c r="F289" s="247">
        <f>H292</f>
        <v>2054176320</v>
      </c>
      <c r="G289" s="206"/>
      <c r="H289" s="247">
        <v>1928283793</v>
      </c>
    </row>
    <row r="290" spans="1:11" s="469" customFormat="1">
      <c r="A290" s="382"/>
      <c r="B290" s="380" t="s">
        <v>612</v>
      </c>
      <c r="C290" s="380"/>
      <c r="D290" s="380"/>
      <c r="E290" s="380"/>
      <c r="F290" s="247">
        <v>815028257</v>
      </c>
      <c r="G290" s="206"/>
      <c r="H290" s="247">
        <v>887171610</v>
      </c>
    </row>
    <row r="291" spans="1:11" s="469" customFormat="1">
      <c r="A291" s="382"/>
      <c r="B291" s="380" t="s">
        <v>613</v>
      </c>
      <c r="C291" s="380"/>
      <c r="D291" s="380"/>
      <c r="E291" s="380"/>
      <c r="F291" s="589">
        <f>-220032607-159460159</f>
        <v>-379492766</v>
      </c>
      <c r="G291" s="206"/>
      <c r="H291" s="589">
        <v>-761279083</v>
      </c>
    </row>
    <row r="292" spans="1:11" s="469" customFormat="1" ht="27.75" thickBot="1">
      <c r="A292" s="382"/>
      <c r="B292" s="380" t="s">
        <v>218</v>
      </c>
      <c r="C292" s="380"/>
      <c r="D292" s="504"/>
      <c r="E292" s="504"/>
      <c r="F292" s="373">
        <f>SUM(F289:F291)</f>
        <v>2489711811</v>
      </c>
      <c r="G292" s="206"/>
      <c r="H292" s="373">
        <f>SUM(H289:H291)</f>
        <v>2054176320</v>
      </c>
      <c r="J292" s="469">
        <f>2489711811-F292</f>
        <v>0</v>
      </c>
    </row>
    <row r="293" spans="1:11" s="36" customFormat="1" ht="50.25" customHeight="1" thickTop="1">
      <c r="A293" s="249"/>
      <c r="B293" s="804" t="s">
        <v>808</v>
      </c>
      <c r="C293" s="804"/>
      <c r="D293" s="804"/>
      <c r="E293" s="804"/>
      <c r="F293" s="804"/>
      <c r="G293" s="804"/>
      <c r="H293" s="804"/>
    </row>
    <row r="294" spans="1:11" s="36" customFormat="1">
      <c r="A294" s="249"/>
      <c r="B294" s="380"/>
      <c r="C294" s="248"/>
      <c r="D294" s="257"/>
      <c r="E294" s="257"/>
      <c r="F294" s="172"/>
      <c r="G294" s="242"/>
      <c r="H294" s="172"/>
    </row>
    <row r="295" spans="1:11" s="36" customFormat="1" ht="28.5">
      <c r="A295" s="469"/>
      <c r="B295" s="158" t="s">
        <v>219</v>
      </c>
      <c r="C295" s="255"/>
      <c r="D295" s="242"/>
      <c r="E295" s="242"/>
      <c r="F295" s="172"/>
      <c r="G295" s="242"/>
      <c r="H295" s="242"/>
    </row>
    <row r="296" spans="1:11" s="36" customFormat="1" ht="24" customHeight="1">
      <c r="A296" s="158">
        <v>-17</v>
      </c>
      <c r="B296" s="158" t="s">
        <v>402</v>
      </c>
      <c r="C296" s="383"/>
      <c r="D296" s="499"/>
      <c r="E296" s="499"/>
      <c r="F296" s="499"/>
      <c r="G296" s="206"/>
      <c r="H296" s="206"/>
    </row>
    <row r="297" spans="1:11" s="37" customFormat="1" ht="24" customHeight="1" thickBot="1">
      <c r="A297" s="376"/>
      <c r="B297" s="158" t="s">
        <v>403</v>
      </c>
      <c r="C297" s="375"/>
      <c r="D297" s="500" t="s">
        <v>70</v>
      </c>
      <c r="E297" s="488"/>
      <c r="F297" s="360">
        <v>1398</v>
      </c>
      <c r="G297" s="376"/>
      <c r="H297" s="360">
        <v>1397</v>
      </c>
    </row>
    <row r="298" spans="1:11" s="37" customFormat="1" ht="24" customHeight="1">
      <c r="A298" s="379"/>
      <c r="B298" s="375"/>
      <c r="C298" s="375"/>
      <c r="D298" s="375"/>
      <c r="E298" s="247"/>
      <c r="F298" s="361" t="s">
        <v>199</v>
      </c>
      <c r="G298" s="376"/>
      <c r="H298" s="361" t="s">
        <v>199</v>
      </c>
    </row>
    <row r="299" spans="1:11" s="37" customFormat="1" ht="24" customHeight="1">
      <c r="A299" s="379"/>
      <c r="B299" s="375" t="s">
        <v>225</v>
      </c>
      <c r="C299" s="375"/>
      <c r="D299" s="250" t="s">
        <v>617</v>
      </c>
      <c r="E299" s="247"/>
      <c r="F299" s="247">
        <f>F308</f>
        <v>156535286000</v>
      </c>
      <c r="G299" s="376"/>
      <c r="H299" s="247">
        <f>H308</f>
        <v>88911531188</v>
      </c>
      <c r="J299" s="171"/>
    </row>
    <row r="300" spans="1:11" s="37" customFormat="1" ht="24" customHeight="1">
      <c r="A300" s="379"/>
      <c r="B300" s="375" t="s">
        <v>230</v>
      </c>
      <c r="C300" s="375"/>
      <c r="D300" s="250" t="s">
        <v>618</v>
      </c>
      <c r="E300" s="247"/>
      <c r="F300" s="247">
        <f>F314</f>
        <v>18470000000</v>
      </c>
      <c r="G300" s="376"/>
      <c r="H300" s="247">
        <f>H314</f>
        <v>2738000000</v>
      </c>
    </row>
    <row r="301" spans="1:11" s="37" customFormat="1" ht="24" customHeight="1" thickBot="1">
      <c r="A301" s="379"/>
      <c r="B301" s="375"/>
      <c r="C301" s="375"/>
      <c r="D301" s="250"/>
      <c r="E301" s="247"/>
      <c r="F301" s="373">
        <f>SUM(F299:F300)</f>
        <v>175005286000</v>
      </c>
      <c r="G301" s="376"/>
      <c r="H301" s="373">
        <f>SUM(H299:H300)</f>
        <v>91649531188</v>
      </c>
      <c r="K301" s="171"/>
    </row>
    <row r="302" spans="1:11" s="36" customFormat="1" ht="24" customHeight="1" thickTop="1">
      <c r="A302" s="501"/>
      <c r="B302" s="502"/>
      <c r="C302" s="502"/>
      <c r="D302" s="206"/>
      <c r="E302" s="206"/>
      <c r="F302" s="206"/>
      <c r="G302" s="206"/>
      <c r="H302" s="247"/>
    </row>
    <row r="303" spans="1:11" s="36" customFormat="1" ht="24" customHeight="1" thickBot="1">
      <c r="A303" s="250" t="s">
        <v>617</v>
      </c>
      <c r="B303" s="376" t="s">
        <v>229</v>
      </c>
      <c r="C303" s="502"/>
      <c r="D303" s="471" t="s">
        <v>24</v>
      </c>
      <c r="E303" s="206"/>
      <c r="F303" s="360">
        <v>1398</v>
      </c>
      <c r="G303" s="376"/>
      <c r="H303" s="360">
        <v>1397</v>
      </c>
    </row>
    <row r="304" spans="1:11" s="36" customFormat="1" ht="24" customHeight="1">
      <c r="A304" s="383"/>
      <c r="B304" s="376"/>
      <c r="C304" s="502"/>
      <c r="D304" s="206"/>
      <c r="E304" s="206"/>
      <c r="F304" s="361" t="s">
        <v>199</v>
      </c>
      <c r="G304" s="376"/>
      <c r="H304" s="361" t="s">
        <v>199</v>
      </c>
    </row>
    <row r="305" spans="1:13" s="36" customFormat="1" ht="24" customHeight="1">
      <c r="A305" s="501"/>
      <c r="B305" s="375" t="s">
        <v>226</v>
      </c>
      <c r="C305" s="502"/>
      <c r="D305" s="811">
        <v>30</v>
      </c>
      <c r="E305" s="206"/>
      <c r="F305" s="247">
        <f>116221000000-F306</f>
        <v>93302401414</v>
      </c>
      <c r="G305" s="206"/>
      <c r="H305" s="247">
        <v>51030593440</v>
      </c>
    </row>
    <row r="306" spans="1:13" s="36" customFormat="1" ht="24" customHeight="1">
      <c r="A306" s="501"/>
      <c r="B306" s="375" t="s">
        <v>227</v>
      </c>
      <c r="C306" s="502"/>
      <c r="D306" s="811"/>
      <c r="E306" s="206"/>
      <c r="F306" s="247">
        <v>22918598586</v>
      </c>
      <c r="G306" s="206"/>
      <c r="H306" s="247">
        <v>19515937748</v>
      </c>
    </row>
    <row r="307" spans="1:13" s="36" customFormat="1" ht="24" customHeight="1">
      <c r="A307" s="501"/>
      <c r="B307" s="375" t="s">
        <v>228</v>
      </c>
      <c r="C307" s="502"/>
      <c r="D307" s="811"/>
      <c r="E307" s="206"/>
      <c r="F307" s="247">
        <f>ابلاغي!E6</f>
        <v>40314286000</v>
      </c>
      <c r="G307" s="206"/>
      <c r="H307" s="247">
        <v>18365000000</v>
      </c>
    </row>
    <row r="308" spans="1:13" s="36" customFormat="1" ht="24" customHeight="1" thickBot="1">
      <c r="A308" s="501"/>
      <c r="B308" s="502"/>
      <c r="C308" s="502"/>
      <c r="D308" s="206"/>
      <c r="E308" s="206"/>
      <c r="F308" s="373">
        <f>SUM(F305:F307)</f>
        <v>156535286000</v>
      </c>
      <c r="G308" s="206"/>
      <c r="H308" s="373">
        <f>SUM(H305:H307)</f>
        <v>88911531188</v>
      </c>
    </row>
    <row r="309" spans="1:13" s="37" customFormat="1" ht="24" customHeight="1" thickTop="1">
      <c r="C309" s="259"/>
      <c r="D309" s="259"/>
      <c r="E309" s="259"/>
      <c r="F309" s="259"/>
      <c r="H309" s="172"/>
    </row>
    <row r="310" spans="1:13" s="37" customFormat="1" ht="24" customHeight="1" thickBot="1">
      <c r="A310" s="250" t="s">
        <v>618</v>
      </c>
      <c r="B310" s="376" t="s">
        <v>231</v>
      </c>
      <c r="C310" s="375"/>
      <c r="D310" s="471" t="s">
        <v>24</v>
      </c>
      <c r="E310" s="247"/>
      <c r="F310" s="360">
        <v>1398</v>
      </c>
      <c r="H310" s="360">
        <v>1397</v>
      </c>
    </row>
    <row r="311" spans="1:13" s="37" customFormat="1" ht="24" customHeight="1">
      <c r="A311" s="379"/>
      <c r="B311" s="375"/>
      <c r="C311" s="375"/>
      <c r="D311" s="250"/>
      <c r="E311" s="247"/>
      <c r="F311" s="361" t="s">
        <v>199</v>
      </c>
      <c r="H311" s="361" t="s">
        <v>199</v>
      </c>
    </row>
    <row r="312" spans="1:13" s="37" customFormat="1" ht="24" customHeight="1">
      <c r="A312" s="379"/>
      <c r="B312" s="375" t="s">
        <v>232</v>
      </c>
      <c r="C312" s="375"/>
      <c r="D312" s="812" t="s">
        <v>976</v>
      </c>
      <c r="E312" s="247"/>
      <c r="F312" s="247">
        <f>' مصوب'!F15+'وجوه مصرف نشده'!D19</f>
        <v>11120000000</v>
      </c>
      <c r="H312" s="247">
        <v>2138000000</v>
      </c>
    </row>
    <row r="313" spans="1:13" s="37" customFormat="1" ht="24" customHeight="1">
      <c r="A313" s="379"/>
      <c r="B313" s="375" t="s">
        <v>233</v>
      </c>
      <c r="C313" s="375"/>
      <c r="D313" s="812"/>
      <c r="E313" s="247"/>
      <c r="F313" s="247">
        <f>ابلاغي!E15+'وجوه مصرف نشده'!H26</f>
        <v>7350000000</v>
      </c>
      <c r="H313" s="247">
        <v>600000000</v>
      </c>
    </row>
    <row r="314" spans="1:13" s="36" customFormat="1" ht="24" customHeight="1" thickBot="1">
      <c r="A314" s="382"/>
      <c r="B314" s="383"/>
      <c r="C314" s="383"/>
      <c r="D314" s="383"/>
      <c r="E314" s="383"/>
      <c r="F314" s="373">
        <f>SUM(F312:F313)</f>
        <v>18470000000</v>
      </c>
      <c r="G314" s="242"/>
      <c r="H314" s="373">
        <f>SUM(H312:H313)</f>
        <v>2738000000</v>
      </c>
    </row>
    <row r="315" spans="1:13" s="36" customFormat="1" ht="24" customHeight="1" thickTop="1">
      <c r="C315" s="255"/>
      <c r="D315" s="255"/>
      <c r="E315" s="255"/>
      <c r="F315" s="242"/>
      <c r="G315" s="242"/>
      <c r="H315" s="172"/>
    </row>
    <row r="316" spans="1:13" s="36" customFormat="1" ht="24" customHeight="1">
      <c r="A316" s="237">
        <v>-18</v>
      </c>
      <c r="B316" s="158" t="s">
        <v>220</v>
      </c>
      <c r="C316" s="383"/>
      <c r="D316" s="206"/>
      <c r="E316" s="206"/>
      <c r="F316" s="206"/>
      <c r="G316" s="242"/>
      <c r="H316" s="257"/>
    </row>
    <row r="317" spans="1:13" s="37" customFormat="1" ht="24" customHeight="1" thickBot="1">
      <c r="A317" s="453"/>
      <c r="B317" s="376" t="s">
        <v>221</v>
      </c>
      <c r="C317" s="375"/>
      <c r="D317" s="153"/>
      <c r="E317" s="488"/>
      <c r="F317" s="360">
        <v>1398</v>
      </c>
      <c r="H317" s="360">
        <v>1397</v>
      </c>
    </row>
    <row r="318" spans="1:13" s="37" customFormat="1" ht="24" customHeight="1">
      <c r="A318" s="379"/>
      <c r="B318" s="376"/>
      <c r="C318" s="375"/>
      <c r="D318" s="153"/>
      <c r="E318" s="247"/>
      <c r="F318" s="361" t="s">
        <v>199</v>
      </c>
      <c r="H318" s="361" t="s">
        <v>199</v>
      </c>
    </row>
    <row r="319" spans="1:13" s="37" customFormat="1" ht="24" customHeight="1">
      <c r="A319" s="379"/>
      <c r="B319" s="489" t="s">
        <v>516</v>
      </c>
      <c r="C319" s="489"/>
      <c r="D319" s="250"/>
      <c r="E319" s="247"/>
      <c r="F319" s="247">
        <v>272000000</v>
      </c>
      <c r="H319" s="247">
        <v>59169999.998647958</v>
      </c>
      <c r="K319" s="487"/>
      <c r="L319" s="376"/>
      <c r="M319" s="376"/>
    </row>
    <row r="320" spans="1:13" s="37" customFormat="1" ht="24" customHeight="1">
      <c r="A320" s="379"/>
      <c r="B320" s="490" t="s">
        <v>619</v>
      </c>
      <c r="C320" s="490"/>
      <c r="D320" s="250"/>
      <c r="E320" s="247"/>
      <c r="F320" s="247">
        <v>0</v>
      </c>
      <c r="H320" s="247">
        <v>6046497710</v>
      </c>
      <c r="K320" s="487"/>
      <c r="L320" s="376"/>
      <c r="M320" s="376"/>
    </row>
    <row r="321" spans="1:13" s="37" customFormat="1" ht="24" customHeight="1">
      <c r="A321" s="379"/>
      <c r="B321" s="489" t="s">
        <v>189</v>
      </c>
      <c r="C321" s="489"/>
      <c r="D321" s="381"/>
      <c r="E321" s="247"/>
      <c r="F321" s="247">
        <v>24592875009</v>
      </c>
      <c r="H321" s="247">
        <v>5177757636.751688</v>
      </c>
      <c r="J321" s="171"/>
      <c r="K321" s="487"/>
      <c r="L321" s="376"/>
      <c r="M321" s="376"/>
    </row>
    <row r="322" spans="1:13" s="37" customFormat="1" ht="24" customHeight="1">
      <c r="A322" s="379"/>
      <c r="B322" s="490" t="s">
        <v>190</v>
      </c>
      <c r="C322" s="490"/>
      <c r="D322" s="381"/>
      <c r="E322" s="247"/>
      <c r="F322" s="247">
        <v>569000000</v>
      </c>
      <c r="H322" s="247">
        <v>138089199.99684465</v>
      </c>
      <c r="K322" s="487"/>
      <c r="L322" s="376"/>
      <c r="M322" s="376"/>
    </row>
    <row r="323" spans="1:13" s="37" customFormat="1" ht="24" customHeight="1">
      <c r="A323" s="379"/>
      <c r="B323" s="489" t="s">
        <v>156</v>
      </c>
      <c r="C323" s="489"/>
      <c r="D323" s="381"/>
      <c r="E323" s="247"/>
      <c r="F323" s="247">
        <v>2161760327</v>
      </c>
      <c r="H323" s="247">
        <v>10128698805.808559</v>
      </c>
      <c r="K323" s="487"/>
      <c r="L323" s="376"/>
      <c r="M323" s="376"/>
    </row>
    <row r="324" spans="1:13" s="37" customFormat="1" ht="24" customHeight="1">
      <c r="A324" s="379"/>
      <c r="B324" s="489" t="s">
        <v>157</v>
      </c>
      <c r="C324" s="489"/>
      <c r="D324" s="381"/>
      <c r="E324" s="247"/>
      <c r="F324" s="247">
        <f>547316000</f>
        <v>547316000</v>
      </c>
      <c r="H324" s="247">
        <v>126634469.99710639</v>
      </c>
      <c r="K324" s="487"/>
      <c r="L324" s="376"/>
      <c r="M324" s="376"/>
    </row>
    <row r="325" spans="1:13" s="37" customFormat="1" ht="24" customHeight="1">
      <c r="A325" s="379"/>
      <c r="B325" s="489" t="s">
        <v>158</v>
      </c>
      <c r="C325" s="489"/>
      <c r="D325" s="381"/>
      <c r="E325" s="247"/>
      <c r="F325" s="247">
        <f>16075316677+3</f>
        <v>16075316680</v>
      </c>
      <c r="H325" s="247">
        <v>11222824490.093557</v>
      </c>
      <c r="K325" s="487"/>
      <c r="L325" s="376"/>
      <c r="M325" s="376"/>
    </row>
    <row r="326" spans="1:13" s="37" customFormat="1" ht="24" customHeight="1">
      <c r="A326" s="379"/>
      <c r="B326" s="489" t="s">
        <v>159</v>
      </c>
      <c r="C326" s="489"/>
      <c r="D326" s="381"/>
      <c r="E326" s="247"/>
      <c r="F326" s="247">
        <v>8482034246</v>
      </c>
      <c r="H326" s="247">
        <v>8619389205.2130451</v>
      </c>
      <c r="K326" s="487"/>
      <c r="L326" s="376"/>
      <c r="M326" s="376"/>
    </row>
    <row r="327" spans="1:13" s="37" customFormat="1" ht="24" customHeight="1">
      <c r="A327" s="379"/>
      <c r="B327" s="375" t="s">
        <v>767</v>
      </c>
      <c r="C327" s="375"/>
      <c r="D327" s="381"/>
      <c r="E327" s="247"/>
      <c r="F327" s="247">
        <f>1819517738-3</f>
        <v>1819517735</v>
      </c>
      <c r="H327" s="247">
        <v>2244428481</v>
      </c>
      <c r="K327" s="487"/>
      <c r="L327" s="376"/>
      <c r="M327" s="376"/>
    </row>
    <row r="328" spans="1:13" s="37" customFormat="1" ht="24" customHeight="1" thickBot="1">
      <c r="A328" s="379"/>
      <c r="B328" s="375"/>
      <c r="C328" s="375"/>
      <c r="D328" s="250"/>
      <c r="E328" s="247"/>
      <c r="F328" s="373">
        <f>SUM(F319:F327)</f>
        <v>54519819997</v>
      </c>
      <c r="H328" s="373">
        <f>SUM(H319:H327)</f>
        <v>43763489998.859444</v>
      </c>
      <c r="K328" s="171"/>
    </row>
    <row r="329" spans="1:13" s="469" customFormat="1" ht="24" customHeight="1" thickTop="1">
      <c r="A329" s="237">
        <v>-19</v>
      </c>
      <c r="B329" s="158" t="s">
        <v>683</v>
      </c>
      <c r="C329" s="383"/>
      <c r="D329" s="590"/>
      <c r="E329" s="590"/>
      <c r="F329" s="206"/>
      <c r="G329" s="206"/>
      <c r="H329" s="386"/>
    </row>
    <row r="330" spans="1:13" s="469" customFormat="1" ht="24" customHeight="1" thickBot="1">
      <c r="A330" s="453"/>
      <c r="B330" s="376" t="s">
        <v>684</v>
      </c>
      <c r="C330" s="383"/>
      <c r="D330" s="153"/>
      <c r="E330" s="590"/>
      <c r="F330" s="360">
        <v>1398</v>
      </c>
      <c r="G330" s="206"/>
      <c r="H330" s="360">
        <v>1397</v>
      </c>
    </row>
    <row r="331" spans="1:13" s="469" customFormat="1" ht="24" customHeight="1">
      <c r="A331" s="382"/>
      <c r="B331" s="383"/>
      <c r="C331" s="383"/>
      <c r="D331" s="153"/>
      <c r="E331" s="590"/>
      <c r="F331" s="361" t="s">
        <v>199</v>
      </c>
      <c r="G331" s="206"/>
      <c r="H331" s="361" t="s">
        <v>199</v>
      </c>
    </row>
    <row r="332" spans="1:13" s="469" customFormat="1" ht="24" customHeight="1">
      <c r="A332" s="382"/>
      <c r="B332" s="573" t="s">
        <v>809</v>
      </c>
      <c r="C332" s="573"/>
      <c r="D332" s="153"/>
      <c r="E332" s="590"/>
      <c r="F332" s="247">
        <v>960000000</v>
      </c>
      <c r="G332" s="206"/>
      <c r="H332" s="247">
        <v>0</v>
      </c>
    </row>
    <row r="333" spans="1:13" s="469" customFormat="1" ht="24" customHeight="1">
      <c r="A333" s="382"/>
      <c r="B333" s="573" t="s">
        <v>824</v>
      </c>
      <c r="C333" s="573"/>
      <c r="D333" s="153"/>
      <c r="E333" s="590"/>
      <c r="F333" s="247">
        <v>19500000000</v>
      </c>
      <c r="G333" s="206"/>
      <c r="H333" s="247">
        <v>0</v>
      </c>
    </row>
    <row r="334" spans="1:13" s="469" customFormat="1" ht="24" customHeight="1">
      <c r="A334" s="382"/>
      <c r="B334" s="573" t="s">
        <v>822</v>
      </c>
      <c r="C334" s="573"/>
      <c r="D334" s="153"/>
      <c r="E334" s="590"/>
      <c r="F334" s="247">
        <v>1200000000</v>
      </c>
      <c r="G334" s="206"/>
      <c r="H334" s="247">
        <v>0</v>
      </c>
    </row>
    <row r="335" spans="1:13" s="469" customFormat="1" ht="24" customHeight="1">
      <c r="A335" s="382"/>
      <c r="B335" s="573" t="s">
        <v>823</v>
      </c>
      <c r="C335" s="573"/>
      <c r="D335" s="153"/>
      <c r="E335" s="590"/>
      <c r="F335" s="247">
        <f>8000000000+1000000000</f>
        <v>9000000000</v>
      </c>
      <c r="G335" s="206"/>
      <c r="H335" s="247">
        <v>0</v>
      </c>
    </row>
    <row r="336" spans="1:13" s="469" customFormat="1" ht="24" customHeight="1" thickBot="1">
      <c r="A336" s="382"/>
      <c r="B336" s="383"/>
      <c r="C336" s="383"/>
      <c r="D336" s="590"/>
      <c r="E336" s="590"/>
      <c r="F336" s="389">
        <f>SUM(F332:F335)</f>
        <v>30660000000</v>
      </c>
      <c r="G336" s="206"/>
      <c r="H336" s="389">
        <f>SUM(H332:H335)</f>
        <v>0</v>
      </c>
    </row>
    <row r="337" spans="1:11" s="469" customFormat="1" ht="27" customHeight="1" thickTop="1">
      <c r="A337" s="158"/>
      <c r="C337" s="380"/>
      <c r="D337" s="380"/>
      <c r="E337" s="380"/>
      <c r="F337" s="206"/>
      <c r="G337" s="206"/>
      <c r="H337" s="206"/>
    </row>
    <row r="338" spans="1:11" s="496" customFormat="1" ht="27" customHeight="1" thickBot="1">
      <c r="A338" s="569"/>
      <c r="B338" s="158" t="s">
        <v>234</v>
      </c>
      <c r="C338" s="569"/>
      <c r="D338" s="570" t="s">
        <v>70</v>
      </c>
      <c r="E338" s="571"/>
      <c r="F338" s="360">
        <v>1398</v>
      </c>
      <c r="G338" s="206"/>
      <c r="H338" s="360">
        <v>1397</v>
      </c>
    </row>
    <row r="339" spans="1:11" s="496" customFormat="1" ht="18.75" customHeight="1">
      <c r="A339" s="572"/>
      <c r="B339" s="158" t="s">
        <v>105</v>
      </c>
      <c r="C339" s="572"/>
      <c r="D339" s="572"/>
      <c r="E339" s="572"/>
      <c r="F339" s="361" t="s">
        <v>199</v>
      </c>
      <c r="G339" s="206"/>
      <c r="H339" s="361" t="s">
        <v>199</v>
      </c>
    </row>
    <row r="340" spans="1:11" s="496" customFormat="1" ht="27" customHeight="1">
      <c r="B340" s="573" t="s">
        <v>62</v>
      </c>
      <c r="C340" s="572"/>
      <c r="D340" s="571" t="s">
        <v>954</v>
      </c>
      <c r="E340" s="572"/>
      <c r="F340" s="390">
        <f>F356</f>
        <v>41166368694</v>
      </c>
      <c r="G340" s="390"/>
      <c r="H340" s="390">
        <f>H356</f>
        <v>34630767018</v>
      </c>
    </row>
    <row r="341" spans="1:11" s="496" customFormat="1" ht="27" customHeight="1">
      <c r="B341" s="573" t="s">
        <v>63</v>
      </c>
      <c r="C341" s="572"/>
      <c r="D341" s="571" t="s">
        <v>530</v>
      </c>
      <c r="E341" s="572"/>
      <c r="F341" s="390">
        <f>F379</f>
        <v>63953679667</v>
      </c>
      <c r="G341" s="390"/>
      <c r="H341" s="390">
        <f>H379</f>
        <v>51222040682</v>
      </c>
    </row>
    <row r="342" spans="1:11" s="496" customFormat="1" ht="27" customHeight="1">
      <c r="B342" s="573" t="s">
        <v>64</v>
      </c>
      <c r="C342" s="572"/>
      <c r="D342" s="571" t="s">
        <v>531</v>
      </c>
      <c r="E342" s="572"/>
      <c r="F342" s="574">
        <f>F385</f>
        <v>3334194640</v>
      </c>
      <c r="G342" s="574"/>
      <c r="H342" s="574">
        <f>H385</f>
        <v>2885370336</v>
      </c>
    </row>
    <row r="343" spans="1:11" s="496" customFormat="1" ht="27" customHeight="1">
      <c r="B343" s="573" t="s">
        <v>65</v>
      </c>
      <c r="C343" s="572"/>
      <c r="D343" s="571" t="s">
        <v>532</v>
      </c>
      <c r="E343" s="572"/>
      <c r="F343" s="574">
        <f>F394</f>
        <v>32147845169</v>
      </c>
      <c r="G343" s="390"/>
      <c r="H343" s="390">
        <f>H394</f>
        <v>10318906211</v>
      </c>
      <c r="J343" s="575"/>
      <c r="K343" s="575"/>
    </row>
    <row r="344" spans="1:11" s="496" customFormat="1" ht="27" customHeight="1">
      <c r="B344" s="573" t="s">
        <v>653</v>
      </c>
      <c r="C344" s="572"/>
      <c r="D344" s="571" t="s">
        <v>533</v>
      </c>
      <c r="E344" s="572"/>
      <c r="F344" s="576">
        <f>F402</f>
        <v>9425648135</v>
      </c>
      <c r="G344" s="390"/>
      <c r="H344" s="577">
        <f>H402</f>
        <v>9109233883</v>
      </c>
      <c r="J344" s="575"/>
      <c r="K344" s="575"/>
    </row>
    <row r="345" spans="1:11" s="496" customFormat="1" ht="27" customHeight="1" thickBot="1">
      <c r="A345" s="578"/>
      <c r="B345" s="569"/>
      <c r="C345" s="569"/>
      <c r="D345" s="571"/>
      <c r="E345" s="571"/>
      <c r="F345" s="579">
        <f>SUM(F340:F344)</f>
        <v>150027736305</v>
      </c>
      <c r="G345" s="390"/>
      <c r="H345" s="579">
        <f>SUM(H340:H344)</f>
        <v>108166318130</v>
      </c>
      <c r="J345" s="629">
        <f>150027736305-F345</f>
        <v>0</v>
      </c>
      <c r="K345" s="153"/>
    </row>
    <row r="346" spans="1:11" s="469" customFormat="1" ht="12" customHeight="1" thickTop="1">
      <c r="C346" s="383"/>
      <c r="D346" s="380"/>
      <c r="E346" s="380"/>
      <c r="F346" s="206"/>
      <c r="G346" s="206"/>
      <c r="H346" s="206"/>
    </row>
    <row r="347" spans="1:11" s="469" customFormat="1" ht="23.25" customHeight="1" thickBot="1">
      <c r="A347" s="158">
        <v>-20</v>
      </c>
      <c r="B347" s="158" t="s">
        <v>235</v>
      </c>
      <c r="C347" s="380"/>
      <c r="D347" s="380"/>
      <c r="E347" s="380"/>
      <c r="F347" s="360">
        <v>1398</v>
      </c>
      <c r="G347" s="206"/>
      <c r="H347" s="360">
        <v>1397</v>
      </c>
    </row>
    <row r="348" spans="1:11" s="469" customFormat="1" ht="19.5" customHeight="1">
      <c r="A348" s="382"/>
      <c r="B348" s="376"/>
      <c r="C348" s="380"/>
      <c r="D348" s="380"/>
      <c r="E348" s="380"/>
      <c r="F348" s="361" t="s">
        <v>199</v>
      </c>
      <c r="G348" s="206"/>
      <c r="H348" s="361" t="s">
        <v>199</v>
      </c>
    </row>
    <row r="349" spans="1:11" s="469" customFormat="1" ht="23.25" customHeight="1">
      <c r="A349" s="382"/>
      <c r="B349" s="380" t="s">
        <v>236</v>
      </c>
      <c r="C349" s="380"/>
      <c r="D349" s="380"/>
      <c r="E349" s="380"/>
      <c r="F349" s="247">
        <v>564000000</v>
      </c>
      <c r="G349" s="206"/>
      <c r="H349" s="247">
        <v>1235395994</v>
      </c>
      <c r="K349" s="567"/>
    </row>
    <row r="350" spans="1:11" s="469" customFormat="1" ht="23.25" customHeight="1">
      <c r="A350" s="382"/>
      <c r="B350" s="380" t="s">
        <v>237</v>
      </c>
      <c r="C350" s="380"/>
      <c r="D350" s="380"/>
      <c r="E350" s="380"/>
      <c r="F350" s="247"/>
      <c r="G350" s="206"/>
      <c r="H350" s="247"/>
      <c r="K350" s="567"/>
    </row>
    <row r="351" spans="1:11" s="469" customFormat="1" ht="23.25" customHeight="1">
      <c r="A351" s="382"/>
      <c r="B351" s="380" t="s">
        <v>238</v>
      </c>
      <c r="C351" s="380"/>
      <c r="D351" s="380"/>
      <c r="E351" s="380"/>
      <c r="F351" s="247">
        <f>L369-F349</f>
        <v>24515569973</v>
      </c>
      <c r="G351" s="206"/>
      <c r="H351" s="247">
        <v>20757096017</v>
      </c>
      <c r="K351" s="567"/>
    </row>
    <row r="352" spans="1:11" s="469" customFormat="1" ht="23.25" customHeight="1">
      <c r="A352" s="382"/>
      <c r="B352" s="380" t="s">
        <v>239</v>
      </c>
      <c r="C352" s="380"/>
      <c r="D352" s="380"/>
      <c r="E352" s="380"/>
      <c r="F352" s="567">
        <f>L379</f>
        <v>2292736520</v>
      </c>
      <c r="G352" s="206"/>
      <c r="H352" s="247">
        <v>1526076397</v>
      </c>
      <c r="K352" s="567"/>
    </row>
    <row r="353" spans="1:12" s="469" customFormat="1" ht="23.25" customHeight="1">
      <c r="A353" s="382"/>
      <c r="B353" s="380" t="s">
        <v>240</v>
      </c>
      <c r="C353" s="380"/>
      <c r="D353" s="380"/>
      <c r="E353" s="380"/>
      <c r="F353" s="247">
        <f>L361-710000000</f>
        <v>9154706902</v>
      </c>
      <c r="G353" s="206"/>
      <c r="H353" s="247">
        <v>4192912578</v>
      </c>
      <c r="K353" s="567"/>
    </row>
    <row r="354" spans="1:12" s="469" customFormat="1" ht="23.25" customHeight="1">
      <c r="A354" s="501"/>
      <c r="B354" s="383" t="s">
        <v>615</v>
      </c>
      <c r="C354" s="383"/>
      <c r="D354" s="383"/>
      <c r="E354" s="383"/>
      <c r="F354" s="247">
        <f>L362+710000000</f>
        <v>4630782797</v>
      </c>
      <c r="G354" s="206"/>
      <c r="H354" s="247">
        <v>4927819989</v>
      </c>
      <c r="J354" s="580"/>
      <c r="K354" s="567"/>
    </row>
    <row r="355" spans="1:12" s="469" customFormat="1" ht="23.25" customHeight="1">
      <c r="A355" s="382"/>
      <c r="B355" s="380" t="s">
        <v>38</v>
      </c>
      <c r="C355" s="380"/>
      <c r="D355" s="380"/>
      <c r="E355" s="380"/>
      <c r="F355" s="247">
        <v>8572502</v>
      </c>
      <c r="G355" s="206"/>
      <c r="H355" s="247">
        <v>1991466043</v>
      </c>
      <c r="K355" s="567"/>
    </row>
    <row r="356" spans="1:12" s="469" customFormat="1" ht="23.25" customHeight="1" thickBot="1">
      <c r="A356" s="382"/>
      <c r="B356" s="380" t="s">
        <v>20</v>
      </c>
      <c r="C356" s="380"/>
      <c r="D356" s="380"/>
      <c r="E356" s="380"/>
      <c r="F356" s="373">
        <f>SUM(F349:F355)</f>
        <v>41166368694</v>
      </c>
      <c r="G356" s="206"/>
      <c r="H356" s="373">
        <f>SUM(H349:H355)</f>
        <v>34630767018</v>
      </c>
      <c r="K356" s="580"/>
    </row>
    <row r="357" spans="1:12" s="469" customFormat="1" ht="12" customHeight="1" thickTop="1">
      <c r="A357" s="382"/>
      <c r="B357" s="376"/>
      <c r="C357" s="380"/>
      <c r="D357" s="380"/>
      <c r="E357" s="380"/>
      <c r="F357" s="206"/>
      <c r="G357" s="206"/>
      <c r="H357" s="206"/>
    </row>
    <row r="358" spans="1:12" s="469" customFormat="1" ht="25.5" customHeight="1" thickBot="1">
      <c r="A358" s="158">
        <v>-21</v>
      </c>
      <c r="B358" s="158" t="s">
        <v>242</v>
      </c>
      <c r="C358" s="380"/>
      <c r="D358" s="206"/>
      <c r="E358" s="206"/>
      <c r="F358" s="360">
        <v>1398</v>
      </c>
      <c r="G358" s="206"/>
      <c r="H358" s="360">
        <v>1397</v>
      </c>
    </row>
    <row r="359" spans="1:12" s="469" customFormat="1" ht="20.25" customHeight="1">
      <c r="A359" s="501"/>
      <c r="B359" s="376" t="s">
        <v>116</v>
      </c>
      <c r="C359" s="376"/>
      <c r="D359" s="376"/>
      <c r="E359" s="376"/>
      <c r="F359" s="361" t="s">
        <v>199</v>
      </c>
      <c r="G359" s="206"/>
      <c r="H359" s="361" t="s">
        <v>199</v>
      </c>
      <c r="K359" s="469" t="s">
        <v>364</v>
      </c>
      <c r="L359" s="469">
        <v>4863112730</v>
      </c>
    </row>
    <row r="360" spans="1:12" s="469" customFormat="1" ht="25.5" customHeight="1">
      <c r="A360" s="501"/>
      <c r="B360" s="581" t="s">
        <v>344</v>
      </c>
      <c r="C360" s="380"/>
      <c r="D360" s="206"/>
      <c r="E360" s="206"/>
      <c r="F360" s="247">
        <f>L383</f>
        <v>1386530895</v>
      </c>
      <c r="G360" s="247"/>
      <c r="H360" s="247">
        <f>2606354831-1000000000</f>
        <v>1606354831</v>
      </c>
      <c r="J360" s="582"/>
      <c r="K360" s="568" t="s">
        <v>266</v>
      </c>
      <c r="L360" s="469">
        <v>905989500</v>
      </c>
    </row>
    <row r="361" spans="1:12" s="469" customFormat="1" ht="25.5" customHeight="1">
      <c r="A361" s="382"/>
      <c r="B361" s="380" t="s">
        <v>565</v>
      </c>
      <c r="C361" s="380"/>
      <c r="D361" s="380"/>
      <c r="E361" s="380"/>
      <c r="F361" s="247">
        <f>L378</f>
        <v>1704573048</v>
      </c>
      <c r="G361" s="247"/>
      <c r="H361" s="247">
        <v>1226174613</v>
      </c>
      <c r="J361" s="582"/>
      <c r="K361" s="568" t="s">
        <v>240</v>
      </c>
      <c r="L361" s="469">
        <v>9864706902</v>
      </c>
    </row>
    <row r="362" spans="1:12" s="469" customFormat="1" ht="25.5" customHeight="1">
      <c r="A362" s="501"/>
      <c r="B362" s="380" t="s">
        <v>244</v>
      </c>
      <c r="C362" s="380"/>
      <c r="D362" s="206"/>
      <c r="E362" s="206"/>
      <c r="F362" s="247">
        <f>L382</f>
        <v>774758417</v>
      </c>
      <c r="G362" s="247"/>
      <c r="H362" s="247">
        <v>2886668666</v>
      </c>
      <c r="J362" s="582"/>
      <c r="K362" s="568" t="s">
        <v>615</v>
      </c>
      <c r="L362" s="469">
        <v>3920782797</v>
      </c>
    </row>
    <row r="363" spans="1:12" s="469" customFormat="1" ht="25.5" customHeight="1">
      <c r="A363" s="382"/>
      <c r="B363" s="383" t="s">
        <v>263</v>
      </c>
      <c r="C363" s="583"/>
      <c r="D363" s="383"/>
      <c r="E363" s="383"/>
      <c r="F363" s="391">
        <f>L367</f>
        <v>1964594524</v>
      </c>
      <c r="G363" s="247"/>
      <c r="H363" s="391">
        <f>3469678866-1000000000</f>
        <v>2469678866</v>
      </c>
      <c r="J363" s="582"/>
      <c r="K363" s="568" t="s">
        <v>250</v>
      </c>
      <c r="L363" s="469">
        <v>1078856040</v>
      </c>
    </row>
    <row r="364" spans="1:12" s="469" customFormat="1" ht="25.5" customHeight="1">
      <c r="A364" s="501"/>
      <c r="B364" s="380" t="s">
        <v>245</v>
      </c>
      <c r="C364" s="380"/>
      <c r="D364" s="206"/>
      <c r="E364" s="206"/>
      <c r="F364" s="247">
        <f>L375</f>
        <v>7820828061</v>
      </c>
      <c r="G364" s="247"/>
      <c r="H364" s="247">
        <v>5755619273</v>
      </c>
      <c r="J364" s="582"/>
      <c r="K364" s="568" t="s">
        <v>251</v>
      </c>
      <c r="L364" s="469">
        <v>8207818092</v>
      </c>
    </row>
    <row r="365" spans="1:12" s="469" customFormat="1" ht="25.5" customHeight="1">
      <c r="A365" s="501"/>
      <c r="B365" s="584" t="s">
        <v>246</v>
      </c>
      <c r="C365" s="584"/>
      <c r="D365" s="206"/>
      <c r="E365" s="206"/>
      <c r="F365" s="247">
        <f>L374</f>
        <v>6838659807</v>
      </c>
      <c r="G365" s="247"/>
      <c r="H365" s="247">
        <v>2682058597</v>
      </c>
      <c r="J365" s="582"/>
      <c r="K365" s="568" t="s">
        <v>345</v>
      </c>
      <c r="L365" s="469">
        <v>9012591466</v>
      </c>
    </row>
    <row r="366" spans="1:12" s="469" customFormat="1" ht="25.5" customHeight="1">
      <c r="A366" s="501"/>
      <c r="B366" s="380" t="s">
        <v>247</v>
      </c>
      <c r="C366" s="380"/>
      <c r="D366" s="206"/>
      <c r="E366" s="206"/>
      <c r="F366" s="247">
        <f>L373</f>
        <v>2524881752</v>
      </c>
      <c r="G366" s="247"/>
      <c r="H366" s="247">
        <v>2192847176</v>
      </c>
      <c r="J366" s="582"/>
      <c r="K366" s="568" t="s">
        <v>252</v>
      </c>
      <c r="L366" s="469">
        <v>197247915</v>
      </c>
    </row>
    <row r="367" spans="1:12" s="469" customFormat="1" ht="25.5" customHeight="1">
      <c r="A367" s="501"/>
      <c r="B367" s="380" t="s">
        <v>362</v>
      </c>
      <c r="C367" s="380"/>
      <c r="D367" s="206"/>
      <c r="E367" s="206"/>
      <c r="F367" s="247">
        <f>L370</f>
        <v>6467000000</v>
      </c>
      <c r="G367" s="247"/>
      <c r="H367" s="247">
        <v>11088200000</v>
      </c>
      <c r="J367" s="582"/>
      <c r="K367" s="568" t="s">
        <v>263</v>
      </c>
      <c r="L367" s="469">
        <v>1964594524</v>
      </c>
    </row>
    <row r="368" spans="1:12" s="469" customFormat="1" ht="25.5" customHeight="1">
      <c r="A368" s="501"/>
      <c r="B368" s="380" t="s">
        <v>363</v>
      </c>
      <c r="C368" s="380"/>
      <c r="D368" s="206"/>
      <c r="E368" s="206"/>
      <c r="F368" s="247">
        <f>L371</f>
        <v>2888538474</v>
      </c>
      <c r="G368" s="247"/>
      <c r="H368" s="247">
        <v>2629897345</v>
      </c>
      <c r="J368" s="582"/>
      <c r="K368" s="568" t="s">
        <v>268</v>
      </c>
      <c r="L368" s="469">
        <v>148000000</v>
      </c>
    </row>
    <row r="369" spans="1:12" s="469" customFormat="1" ht="25.5" customHeight="1">
      <c r="A369" s="501"/>
      <c r="B369" s="380" t="s">
        <v>249</v>
      </c>
      <c r="C369" s="380"/>
      <c r="D369" s="206"/>
      <c r="E369" s="206"/>
      <c r="F369" s="247">
        <f>L372</f>
        <v>3875018939</v>
      </c>
      <c r="G369" s="247"/>
      <c r="H369" s="247">
        <v>2259512948</v>
      </c>
      <c r="J369" s="582"/>
      <c r="K369" s="568" t="s">
        <v>238</v>
      </c>
      <c r="L369" s="469">
        <v>25079569973</v>
      </c>
    </row>
    <row r="370" spans="1:12" s="469" customFormat="1" ht="25.5" customHeight="1">
      <c r="A370" s="382"/>
      <c r="B370" s="383" t="s">
        <v>346</v>
      </c>
      <c r="C370" s="583"/>
      <c r="D370" s="383"/>
      <c r="E370" s="383"/>
      <c r="F370" s="247">
        <f>L386</f>
        <v>575195729</v>
      </c>
      <c r="G370" s="247"/>
      <c r="H370" s="247">
        <v>724154433</v>
      </c>
      <c r="J370" s="582"/>
      <c r="K370" s="469" t="s">
        <v>362</v>
      </c>
      <c r="L370" s="469">
        <v>6467000000</v>
      </c>
    </row>
    <row r="371" spans="1:12" s="469" customFormat="1" ht="25.5" customHeight="1">
      <c r="A371" s="501"/>
      <c r="B371" s="383" t="s">
        <v>251</v>
      </c>
      <c r="C371" s="383"/>
      <c r="D371" s="383"/>
      <c r="E371" s="383"/>
      <c r="F371" s="247">
        <f>L364</f>
        <v>8207818092</v>
      </c>
      <c r="G371" s="247"/>
      <c r="H371" s="247">
        <v>4806848381</v>
      </c>
      <c r="J371" s="582"/>
      <c r="K371" s="469" t="s">
        <v>363</v>
      </c>
      <c r="L371" s="469">
        <v>2888538474</v>
      </c>
    </row>
    <row r="372" spans="1:12" s="469" customFormat="1" ht="25.5" customHeight="1">
      <c r="A372" s="501"/>
      <c r="B372" s="383" t="s">
        <v>252</v>
      </c>
      <c r="C372" s="383"/>
      <c r="D372" s="383"/>
      <c r="E372" s="383"/>
      <c r="F372" s="247">
        <f>L366</f>
        <v>197247915</v>
      </c>
      <c r="G372" s="247"/>
      <c r="H372" s="247">
        <v>117602700</v>
      </c>
      <c r="J372" s="582"/>
      <c r="K372" s="469" t="s">
        <v>249</v>
      </c>
      <c r="L372" s="469">
        <v>3875018939</v>
      </c>
    </row>
    <row r="373" spans="1:12" s="469" customFormat="1" ht="25.5" customHeight="1">
      <c r="A373" s="501"/>
      <c r="B373" s="383" t="s">
        <v>345</v>
      </c>
      <c r="C373" s="383"/>
      <c r="D373" s="383"/>
      <c r="E373" s="383"/>
      <c r="F373" s="247">
        <f>L365</f>
        <v>9012591466</v>
      </c>
      <c r="G373" s="247"/>
      <c r="H373" s="247">
        <v>3448999359</v>
      </c>
      <c r="J373" s="582"/>
      <c r="K373" s="469" t="s">
        <v>247</v>
      </c>
      <c r="L373" s="469">
        <v>2524881752</v>
      </c>
    </row>
    <row r="374" spans="1:12" s="469" customFormat="1" ht="25.5" customHeight="1">
      <c r="A374" s="501"/>
      <c r="B374" s="383" t="s">
        <v>807</v>
      </c>
      <c r="C374" s="383"/>
      <c r="D374" s="383"/>
      <c r="E374" s="383"/>
      <c r="F374" s="247">
        <f>L377</f>
        <v>3426823778</v>
      </c>
      <c r="G374" s="247"/>
      <c r="H374" s="247">
        <f>1000000000+459125125+1000000000</f>
        <v>2459125125</v>
      </c>
      <c r="J374" s="582"/>
      <c r="K374" s="469" t="s">
        <v>246</v>
      </c>
      <c r="L374" s="469">
        <v>6838659807</v>
      </c>
    </row>
    <row r="375" spans="1:12" s="469" customFormat="1" ht="25.5" customHeight="1">
      <c r="A375" s="501"/>
      <c r="B375" s="383" t="s">
        <v>342</v>
      </c>
      <c r="C375" s="584"/>
      <c r="D375" s="206"/>
      <c r="E375" s="206"/>
      <c r="F375" s="247">
        <f>L385</f>
        <v>198650000</v>
      </c>
      <c r="G375" s="247"/>
      <c r="H375" s="247">
        <v>292110595</v>
      </c>
      <c r="J375" s="582"/>
      <c r="K375" s="469" t="s">
        <v>245</v>
      </c>
      <c r="L375" s="469">
        <v>7820828061</v>
      </c>
    </row>
    <row r="376" spans="1:12" s="469" customFormat="1" ht="25.5" customHeight="1">
      <c r="A376" s="501"/>
      <c r="B376" s="383" t="s">
        <v>364</v>
      </c>
      <c r="C376" s="584"/>
      <c r="D376" s="206"/>
      <c r="E376" s="206"/>
      <c r="F376" s="247">
        <f>L359</f>
        <v>4863112730</v>
      </c>
      <c r="G376" s="247"/>
      <c r="H376" s="247">
        <v>3652445957</v>
      </c>
      <c r="J376" s="582"/>
      <c r="K376" s="469" t="s">
        <v>626</v>
      </c>
      <c r="L376" s="469">
        <v>3317729591</v>
      </c>
    </row>
    <row r="377" spans="1:12" s="469" customFormat="1" ht="25.5" customHeight="1">
      <c r="A377" s="382"/>
      <c r="B377" s="383" t="s">
        <v>268</v>
      </c>
      <c r="C377" s="583"/>
      <c r="D377" s="383"/>
      <c r="E377" s="383"/>
      <c r="F377" s="247">
        <f>L368</f>
        <v>148000000</v>
      </c>
      <c r="G377" s="247"/>
      <c r="H377" s="247">
        <v>11948000</v>
      </c>
      <c r="J377" s="582"/>
      <c r="K377" s="469" t="s">
        <v>807</v>
      </c>
      <c r="L377" s="469">
        <v>3426823778</v>
      </c>
    </row>
    <row r="378" spans="1:12" s="469" customFormat="1" ht="25.5" customHeight="1">
      <c r="A378" s="501"/>
      <c r="B378" s="584" t="s">
        <v>250</v>
      </c>
      <c r="C378" s="584"/>
      <c r="D378" s="206"/>
      <c r="E378" s="206"/>
      <c r="F378" s="247">
        <f>L363</f>
        <v>1078856040</v>
      </c>
      <c r="G378" s="247"/>
      <c r="H378" s="247">
        <f>1370918942-459125125</f>
        <v>911793817</v>
      </c>
      <c r="J378" s="582"/>
      <c r="K378" s="469" t="s">
        <v>565</v>
      </c>
      <c r="L378" s="469">
        <v>1704573048</v>
      </c>
    </row>
    <row r="379" spans="1:12" s="469" customFormat="1" ht="25.5" customHeight="1" thickBot="1">
      <c r="A379" s="501"/>
      <c r="B379" s="584"/>
      <c r="C379" s="584"/>
      <c r="D379" s="206"/>
      <c r="E379" s="206"/>
      <c r="F379" s="373">
        <f>SUM(F360:F378)</f>
        <v>63953679667</v>
      </c>
      <c r="G379" s="247"/>
      <c r="H379" s="373">
        <f>SUM(H360:H378)</f>
        <v>51222040682</v>
      </c>
      <c r="J379" s="380"/>
      <c r="K379" s="469" t="s">
        <v>239</v>
      </c>
      <c r="L379" s="469">
        <v>2292736520</v>
      </c>
    </row>
    <row r="380" spans="1:12" s="469" customFormat="1" ht="27.75" thickTop="1">
      <c r="A380" s="382"/>
      <c r="B380" s="376"/>
      <c r="C380" s="380"/>
      <c r="D380" s="380"/>
      <c r="E380" s="380"/>
      <c r="F380" s="206"/>
      <c r="G380" s="206"/>
      <c r="H380" s="206"/>
      <c r="J380" s="380"/>
      <c r="K380" s="469" t="s">
        <v>621</v>
      </c>
      <c r="L380" s="469">
        <v>26633777678</v>
      </c>
    </row>
    <row r="381" spans="1:12" s="469" customFormat="1" ht="28.5">
      <c r="A381" s="158">
        <v>-22</v>
      </c>
      <c r="B381" s="158" t="s">
        <v>256</v>
      </c>
      <c r="C381" s="376"/>
      <c r="D381" s="376"/>
      <c r="E381" s="376"/>
      <c r="F381" s="376"/>
      <c r="G381" s="206"/>
      <c r="H381" s="206"/>
      <c r="J381" s="380"/>
      <c r="K381" s="469" t="s">
        <v>614</v>
      </c>
      <c r="L381" s="469">
        <v>3334194640</v>
      </c>
    </row>
    <row r="382" spans="1:12" s="469" customFormat="1" ht="29.25" thickBot="1">
      <c r="A382" s="453"/>
      <c r="B382" s="376" t="s">
        <v>257</v>
      </c>
      <c r="C382" s="380"/>
      <c r="D382" s="380"/>
      <c r="E382" s="380"/>
      <c r="F382" s="360">
        <v>1398</v>
      </c>
      <c r="G382" s="206"/>
      <c r="H382" s="360">
        <v>1397</v>
      </c>
      <c r="K382" s="469" t="s">
        <v>244</v>
      </c>
      <c r="L382" s="469">
        <v>774758417</v>
      </c>
    </row>
    <row r="383" spans="1:12" s="469" customFormat="1">
      <c r="A383" s="501"/>
      <c r="B383" s="383"/>
      <c r="C383" s="383"/>
      <c r="D383" s="383"/>
      <c r="E383" s="383"/>
      <c r="F383" s="361" t="s">
        <v>199</v>
      </c>
      <c r="G383" s="206"/>
      <c r="H383" s="361" t="s">
        <v>199</v>
      </c>
      <c r="K383" s="469" t="s">
        <v>344</v>
      </c>
      <c r="L383" s="469">
        <v>1386530895</v>
      </c>
    </row>
    <row r="384" spans="1:12" s="469" customFormat="1">
      <c r="A384" s="382"/>
      <c r="B384" s="380" t="s">
        <v>614</v>
      </c>
      <c r="C384" s="380"/>
      <c r="D384" s="380"/>
      <c r="E384" s="380"/>
      <c r="F384" s="247">
        <f>L381</f>
        <v>3334194640</v>
      </c>
      <c r="G384" s="247"/>
      <c r="H384" s="247">
        <v>2885370336</v>
      </c>
      <c r="K384" s="469" t="s">
        <v>262</v>
      </c>
      <c r="L384" s="469">
        <v>1290348400</v>
      </c>
    </row>
    <row r="385" spans="1:12" s="469" customFormat="1" ht="27.75" thickBot="1">
      <c r="A385" s="501"/>
      <c r="B385" s="383" t="s">
        <v>20</v>
      </c>
      <c r="C385" s="383"/>
      <c r="D385" s="383"/>
      <c r="E385" s="383"/>
      <c r="F385" s="373">
        <f>SUM(F384:F384)</f>
        <v>3334194640</v>
      </c>
      <c r="G385" s="247"/>
      <c r="H385" s="373">
        <f>SUM(H384)</f>
        <v>2885370336</v>
      </c>
      <c r="K385" s="469" t="s">
        <v>342</v>
      </c>
      <c r="L385" s="469">
        <v>198650000</v>
      </c>
    </row>
    <row r="386" spans="1:12" s="469" customFormat="1" ht="27.75" thickTop="1">
      <c r="A386" s="382"/>
      <c r="B386" s="376"/>
      <c r="C386" s="380"/>
      <c r="D386" s="380"/>
      <c r="E386" s="380"/>
      <c r="F386" s="206"/>
      <c r="G386" s="206"/>
      <c r="H386" s="206"/>
      <c r="K386" s="469" t="s">
        <v>346</v>
      </c>
      <c r="L386" s="469">
        <v>575195729</v>
      </c>
    </row>
    <row r="387" spans="1:12" s="469" customFormat="1" ht="28.5">
      <c r="A387" s="158">
        <v>-23</v>
      </c>
      <c r="B387" s="158" t="s">
        <v>65</v>
      </c>
      <c r="C387" s="383"/>
      <c r="D387" s="383"/>
      <c r="E387" s="383"/>
      <c r="F387" s="206"/>
      <c r="G387" s="206"/>
      <c r="H387" s="383"/>
    </row>
    <row r="388" spans="1:12" s="469" customFormat="1" ht="29.25" thickBot="1">
      <c r="A388" s="453"/>
      <c r="B388" s="376" t="s">
        <v>260</v>
      </c>
      <c r="C388" s="583"/>
      <c r="D388" s="570" t="s">
        <v>70</v>
      </c>
      <c r="E388" s="383"/>
      <c r="F388" s="360">
        <v>1398</v>
      </c>
      <c r="G388" s="206"/>
      <c r="H388" s="360">
        <v>1397</v>
      </c>
    </row>
    <row r="389" spans="1:12" s="469" customFormat="1">
      <c r="A389" s="382"/>
      <c r="B389" s="583"/>
      <c r="C389" s="583"/>
      <c r="D389" s="572"/>
      <c r="E389" s="383"/>
      <c r="F389" s="361" t="s">
        <v>199</v>
      </c>
      <c r="G389" s="206"/>
      <c r="H389" s="361" t="s">
        <v>199</v>
      </c>
    </row>
    <row r="390" spans="1:12" s="469" customFormat="1">
      <c r="A390" s="382"/>
      <c r="B390" s="383" t="s">
        <v>262</v>
      </c>
      <c r="C390" s="583"/>
      <c r="E390" s="383"/>
      <c r="F390" s="247">
        <f>L384</f>
        <v>1290348400</v>
      </c>
      <c r="G390" s="247"/>
      <c r="H390" s="247">
        <v>1007163054</v>
      </c>
    </row>
    <row r="391" spans="1:12" s="469" customFormat="1">
      <c r="A391" s="382"/>
      <c r="B391" s="383" t="s">
        <v>266</v>
      </c>
      <c r="C391" s="583"/>
      <c r="D391" s="383"/>
      <c r="E391" s="383"/>
      <c r="F391" s="247">
        <f>L360</f>
        <v>905989500</v>
      </c>
      <c r="G391" s="247"/>
      <c r="H391" s="247">
        <v>1879137877</v>
      </c>
    </row>
    <row r="392" spans="1:12" s="469" customFormat="1">
      <c r="A392" s="382"/>
      <c r="B392" s="383" t="s">
        <v>621</v>
      </c>
      <c r="C392" s="583"/>
      <c r="D392" s="571" t="s">
        <v>851</v>
      </c>
      <c r="E392" s="383"/>
      <c r="F392" s="247">
        <f>L380</f>
        <v>26633777678</v>
      </c>
      <c r="G392" s="247"/>
      <c r="H392" s="247">
        <v>7108081780</v>
      </c>
    </row>
    <row r="393" spans="1:12" s="469" customFormat="1">
      <c r="A393" s="382"/>
      <c r="B393" s="383" t="s">
        <v>626</v>
      </c>
      <c r="C393" s="583"/>
      <c r="D393" s="585"/>
      <c r="E393" s="383"/>
      <c r="F393" s="247">
        <f>L376</f>
        <v>3317729591</v>
      </c>
      <c r="G393" s="247"/>
      <c r="H393" s="247">
        <v>324523500</v>
      </c>
    </row>
    <row r="394" spans="1:12" s="469" customFormat="1" ht="27.75" thickBot="1">
      <c r="A394" s="382"/>
      <c r="B394" s="583" t="s">
        <v>20</v>
      </c>
      <c r="C394" s="583"/>
      <c r="D394" s="383"/>
      <c r="E394" s="383"/>
      <c r="F394" s="373">
        <f>SUM(F390:F393)</f>
        <v>32147845169</v>
      </c>
      <c r="G394" s="247"/>
      <c r="H394" s="373">
        <f>SUM(H390:H393)</f>
        <v>10318906211</v>
      </c>
    </row>
    <row r="395" spans="1:12" s="469" customFormat="1" ht="39.75" customHeight="1" thickTop="1">
      <c r="A395" s="571" t="s">
        <v>851</v>
      </c>
      <c r="B395" s="583" t="s">
        <v>852</v>
      </c>
      <c r="C395" s="583"/>
      <c r="D395" s="383"/>
      <c r="E395" s="383"/>
      <c r="F395" s="502"/>
      <c r="G395" s="206"/>
      <c r="H395" s="206"/>
    </row>
    <row r="396" spans="1:12" s="469" customFormat="1">
      <c r="A396" s="382"/>
      <c r="B396" s="583"/>
      <c r="C396" s="583"/>
      <c r="D396" s="383"/>
      <c r="E396" s="383"/>
      <c r="F396" s="502"/>
      <c r="G396" s="206"/>
      <c r="H396" s="206"/>
    </row>
    <row r="397" spans="1:12" s="469" customFormat="1" ht="28.5">
      <c r="A397" s="158">
        <v>-24</v>
      </c>
      <c r="B397" s="158" t="s">
        <v>653</v>
      </c>
      <c r="C397" s="383"/>
      <c r="D397" s="383"/>
      <c r="E397" s="383"/>
      <c r="F397" s="206"/>
      <c r="G397" s="206"/>
      <c r="H397" s="383"/>
    </row>
    <row r="398" spans="1:12" s="469" customFormat="1" ht="29.25" thickBot="1">
      <c r="A398" s="453"/>
      <c r="B398" s="376" t="s">
        <v>694</v>
      </c>
      <c r="C398" s="583"/>
      <c r="D398" s="570" t="s">
        <v>545</v>
      </c>
      <c r="E398" s="383"/>
      <c r="F398" s="360">
        <v>1398</v>
      </c>
      <c r="G398" s="206"/>
      <c r="H398" s="360">
        <v>1397</v>
      </c>
    </row>
    <row r="399" spans="1:12" s="469" customFormat="1">
      <c r="A399" s="382"/>
      <c r="B399" s="583"/>
      <c r="C399" s="583"/>
      <c r="D399" s="572"/>
      <c r="E399" s="383"/>
      <c r="F399" s="361" t="s">
        <v>199</v>
      </c>
      <c r="G399" s="206"/>
      <c r="H399" s="361" t="s">
        <v>199</v>
      </c>
    </row>
    <row r="400" spans="1:12" s="469" customFormat="1">
      <c r="A400" s="382"/>
      <c r="B400" s="383" t="s">
        <v>654</v>
      </c>
      <c r="C400" s="583"/>
      <c r="D400" s="250" t="s">
        <v>977</v>
      </c>
      <c r="E400" s="383"/>
      <c r="F400" s="247">
        <f>'دارایی ثابت مشهود'!K16</f>
        <v>9304108135</v>
      </c>
      <c r="G400" s="247"/>
      <c r="H400" s="247">
        <v>8994233883</v>
      </c>
    </row>
    <row r="401" spans="1:12" s="469" customFormat="1">
      <c r="A401" s="382"/>
      <c r="B401" s="383" t="s">
        <v>655</v>
      </c>
      <c r="C401" s="583"/>
      <c r="D401" s="250" t="s">
        <v>954</v>
      </c>
      <c r="E401" s="383"/>
      <c r="F401" s="247">
        <f>'دارایی نامشهود'!K11</f>
        <v>121540000</v>
      </c>
      <c r="G401" s="247"/>
      <c r="H401" s="247">
        <v>115000000</v>
      </c>
    </row>
    <row r="402" spans="1:12" s="469" customFormat="1" ht="27.75" thickBot="1">
      <c r="A402" s="382"/>
      <c r="B402" s="583" t="s">
        <v>20</v>
      </c>
      <c r="C402" s="583"/>
      <c r="D402" s="383"/>
      <c r="E402" s="383"/>
      <c r="F402" s="373">
        <f>SUM(F400:F401)</f>
        <v>9425648135</v>
      </c>
      <c r="G402" s="247"/>
      <c r="H402" s="373">
        <f>SUM(H400:H401)</f>
        <v>9109233883</v>
      </c>
    </row>
    <row r="403" spans="1:12" s="36" customFormat="1" ht="27.75" thickTop="1">
      <c r="A403" s="249"/>
      <c r="B403" s="37"/>
      <c r="C403" s="37"/>
      <c r="D403" s="37"/>
      <c r="E403" s="37"/>
      <c r="F403" s="37"/>
      <c r="G403" s="37"/>
      <c r="H403" s="37"/>
    </row>
    <row r="404" spans="1:12" s="36" customFormat="1" ht="28.5">
      <c r="A404" s="503" t="s">
        <v>686</v>
      </c>
      <c r="B404" s="453" t="s">
        <v>627</v>
      </c>
      <c r="C404" s="383"/>
      <c r="D404" s="206"/>
      <c r="E404" s="206"/>
      <c r="F404" s="206"/>
      <c r="G404" s="206"/>
      <c r="H404" s="504"/>
    </row>
    <row r="405" spans="1:12" s="37" customFormat="1" ht="29.25" thickBot="1">
      <c r="A405" s="453"/>
      <c r="B405" s="376" t="s">
        <v>221</v>
      </c>
      <c r="C405" s="375"/>
      <c r="D405" s="250"/>
      <c r="E405" s="488"/>
      <c r="F405" s="360">
        <v>1398</v>
      </c>
      <c r="G405" s="376"/>
      <c r="H405" s="360">
        <v>1397</v>
      </c>
    </row>
    <row r="406" spans="1:12" s="37" customFormat="1">
      <c r="A406" s="379"/>
      <c r="B406" s="376"/>
      <c r="C406" s="375"/>
      <c r="D406" s="250"/>
      <c r="E406" s="247"/>
      <c r="F406" s="361" t="s">
        <v>199</v>
      </c>
      <c r="G406" s="376"/>
      <c r="H406" s="361" t="s">
        <v>199</v>
      </c>
      <c r="K406"/>
      <c r="L406"/>
    </row>
    <row r="407" spans="1:12" s="37" customFormat="1">
      <c r="A407" s="379"/>
      <c r="B407" s="489" t="s">
        <v>516</v>
      </c>
      <c r="C407" s="489"/>
      <c r="D407" s="250"/>
      <c r="E407" s="247"/>
      <c r="F407" s="247">
        <v>272000000</v>
      </c>
      <c r="G407" s="376"/>
      <c r="H407" s="247">
        <v>61000000</v>
      </c>
      <c r="K407"/>
      <c r="L407"/>
    </row>
    <row r="408" spans="1:12" s="37" customFormat="1">
      <c r="A408" s="379"/>
      <c r="B408" s="489" t="s">
        <v>189</v>
      </c>
      <c r="C408" s="489"/>
      <c r="D408" s="381"/>
      <c r="E408" s="247"/>
      <c r="F408" s="247">
        <f>28188170472+1676000000</f>
        <v>29864170472</v>
      </c>
      <c r="G408" s="376"/>
      <c r="H408" s="247">
        <v>5973134471</v>
      </c>
      <c r="K408"/>
      <c r="L408"/>
    </row>
    <row r="409" spans="1:12" s="37" customFormat="1">
      <c r="A409" s="379"/>
      <c r="B409" s="490" t="s">
        <v>771</v>
      </c>
      <c r="C409" s="490"/>
      <c r="D409" s="381"/>
      <c r="E409" s="247"/>
      <c r="F409" s="247">
        <v>669200000</v>
      </c>
      <c r="G409" s="376"/>
      <c r="H409" s="247">
        <v>392360000</v>
      </c>
      <c r="K409"/>
      <c r="L409"/>
    </row>
    <row r="410" spans="1:12" s="37" customFormat="1">
      <c r="A410" s="379"/>
      <c r="B410" s="489" t="s">
        <v>156</v>
      </c>
      <c r="C410" s="489"/>
      <c r="D410" s="381"/>
      <c r="E410" s="247"/>
      <c r="F410" s="247">
        <v>2161760327</v>
      </c>
      <c r="G410" s="376"/>
      <c r="H410" s="247">
        <v>10441957532</v>
      </c>
      <c r="K410"/>
      <c r="L410"/>
    </row>
    <row r="411" spans="1:12" s="37" customFormat="1">
      <c r="A411" s="379"/>
      <c r="B411" s="489" t="s">
        <v>157</v>
      </c>
      <c r="C411" s="489"/>
      <c r="D411" s="381"/>
      <c r="E411" s="247"/>
      <c r="F411" s="247">
        <f>445315000+102001000</f>
        <v>547316000</v>
      </c>
      <c r="G411" s="376"/>
      <c r="H411" s="247">
        <v>380551000</v>
      </c>
      <c r="K411"/>
      <c r="L411"/>
    </row>
    <row r="412" spans="1:12" s="37" customFormat="1">
      <c r="A412" s="379"/>
      <c r="B412" s="489" t="s">
        <v>158</v>
      </c>
      <c r="C412" s="489"/>
      <c r="D412" s="381"/>
      <c r="E412" s="247"/>
      <c r="F412" s="247">
        <v>20024256403</v>
      </c>
      <c r="G412" s="376"/>
      <c r="H412" s="247">
        <v>11683165482</v>
      </c>
      <c r="K412"/>
      <c r="L412"/>
    </row>
    <row r="413" spans="1:12" s="37" customFormat="1">
      <c r="A413" s="379"/>
      <c r="B413" s="489" t="s">
        <v>772</v>
      </c>
      <c r="C413" s="489"/>
      <c r="D413" s="381"/>
      <c r="E413" s="247"/>
      <c r="F413" s="247">
        <f>6763589205+174127700+2055202300+1454554309</f>
        <v>10447473514</v>
      </c>
      <c r="G413" s="376"/>
      <c r="H413" s="247">
        <v>8885968253</v>
      </c>
      <c r="K413"/>
      <c r="L413"/>
    </row>
    <row r="414" spans="1:12" s="37" customFormat="1">
      <c r="A414" s="379"/>
      <c r="B414" s="489" t="s">
        <v>845</v>
      </c>
      <c r="C414" s="489"/>
      <c r="D414" s="381"/>
      <c r="E414" s="247"/>
      <c r="F414" s="247">
        <f>9792901542+356140566+2436166615</f>
        <v>12585208723</v>
      </c>
      <c r="G414" s="376"/>
      <c r="H414" s="247">
        <v>2436166615</v>
      </c>
      <c r="K414"/>
      <c r="L414"/>
    </row>
    <row r="415" spans="1:12" s="37" customFormat="1">
      <c r="A415" s="379"/>
      <c r="B415" s="375" t="s">
        <v>978</v>
      </c>
      <c r="C415" s="375"/>
      <c r="D415" s="381"/>
      <c r="E415" s="247"/>
      <c r="F415" s="247">
        <f>4596857618-2436166615</f>
        <v>2160691003</v>
      </c>
      <c r="G415" s="376"/>
      <c r="H415" s="247">
        <f>2526024336-2436166615</f>
        <v>89857721</v>
      </c>
      <c r="K415"/>
      <c r="L415"/>
    </row>
    <row r="416" spans="1:12" s="37" customFormat="1" ht="27.75" thickBot="1">
      <c r="A416" s="379"/>
      <c r="B416" s="375"/>
      <c r="C416" s="375"/>
      <c r="D416" s="250"/>
      <c r="E416" s="247"/>
      <c r="F416" s="373">
        <f>SUM(F407:F415)</f>
        <v>78732076442</v>
      </c>
      <c r="G416" s="376"/>
      <c r="H416" s="373">
        <f>SUM(H407:H415)</f>
        <v>40344161074</v>
      </c>
      <c r="J416" s="171"/>
      <c r="K416"/>
      <c r="L416"/>
    </row>
    <row r="417" spans="1:12" s="37" customFormat="1" ht="29.25" thickTop="1">
      <c r="A417" s="503" t="s">
        <v>534</v>
      </c>
      <c r="B417" s="453" t="s">
        <v>961</v>
      </c>
      <c r="C417" s="253"/>
      <c r="D417" s="258"/>
      <c r="E417" s="172"/>
      <c r="F417" s="172"/>
      <c r="H417" s="172"/>
      <c r="K417"/>
      <c r="L417"/>
    </row>
    <row r="418" spans="1:12" s="37" customFormat="1" ht="28.5">
      <c r="A418" s="503"/>
      <c r="B418" s="729" t="s">
        <v>955</v>
      </c>
      <c r="C418" s="253"/>
      <c r="D418" s="258"/>
      <c r="E418" s="172"/>
      <c r="F418" s="172"/>
      <c r="H418" s="172"/>
      <c r="K418"/>
      <c r="L418"/>
    </row>
    <row r="419" spans="1:12" s="36" customFormat="1" ht="25.5">
      <c r="A419" s="808" t="s">
        <v>517</v>
      </c>
      <c r="B419" s="808"/>
      <c r="C419" s="808"/>
      <c r="D419" s="808"/>
      <c r="E419" s="808"/>
      <c r="F419" s="808"/>
      <c r="G419" s="808"/>
      <c r="H419" s="808"/>
    </row>
    <row r="420" spans="1:12" s="36" customFormat="1" ht="25.5">
      <c r="A420" s="808" t="s">
        <v>518</v>
      </c>
      <c r="B420" s="808"/>
      <c r="C420" s="808"/>
      <c r="D420" s="808"/>
      <c r="E420" s="808"/>
      <c r="F420" s="808"/>
      <c r="G420" s="808"/>
      <c r="H420" s="808"/>
    </row>
    <row r="421" spans="1:12" s="36" customFormat="1" ht="25.5">
      <c r="A421" s="808" t="s">
        <v>518</v>
      </c>
      <c r="B421" s="808"/>
      <c r="C421" s="808"/>
      <c r="D421" s="808"/>
      <c r="E421" s="808"/>
      <c r="F421" s="808"/>
      <c r="G421" s="808"/>
      <c r="H421" s="808"/>
    </row>
    <row r="422" spans="1:12" s="36" customFormat="1" ht="25.5">
      <c r="A422" s="808" t="s">
        <v>518</v>
      </c>
      <c r="B422" s="808"/>
      <c r="C422" s="808"/>
      <c r="D422" s="808"/>
      <c r="E422" s="808"/>
      <c r="F422" s="808"/>
      <c r="G422" s="808"/>
      <c r="H422" s="808"/>
    </row>
    <row r="423" spans="1:12" s="36" customFormat="1" ht="25.5">
      <c r="A423" s="808" t="s">
        <v>518</v>
      </c>
      <c r="B423" s="808"/>
      <c r="C423" s="808"/>
      <c r="D423" s="808"/>
      <c r="E423" s="808"/>
      <c r="F423" s="808"/>
      <c r="G423" s="808"/>
      <c r="H423" s="808"/>
    </row>
    <row r="424" spans="1:12" s="36" customFormat="1" ht="25.5">
      <c r="A424" s="808" t="s">
        <v>519</v>
      </c>
      <c r="B424" s="808"/>
      <c r="C424" s="808"/>
      <c r="D424" s="808"/>
      <c r="E424" s="808"/>
      <c r="F424" s="808"/>
      <c r="G424" s="808"/>
      <c r="H424" s="808"/>
    </row>
    <row r="425" spans="1:12" s="36" customFormat="1" ht="25.5">
      <c r="A425" s="808" t="s">
        <v>519</v>
      </c>
      <c r="B425" s="808"/>
      <c r="C425" s="808"/>
      <c r="D425" s="808"/>
      <c r="E425" s="808"/>
      <c r="F425" s="808"/>
      <c r="G425" s="808"/>
      <c r="H425" s="808"/>
    </row>
    <row r="426" spans="1:12" s="36" customFormat="1" ht="25.5">
      <c r="A426" s="808" t="s">
        <v>520</v>
      </c>
      <c r="B426" s="808"/>
      <c r="C426" s="808"/>
      <c r="D426" s="808"/>
      <c r="E426" s="808"/>
      <c r="F426" s="808"/>
      <c r="G426" s="808"/>
      <c r="H426" s="808"/>
    </row>
    <row r="427" spans="1:12" s="36" customFormat="1" ht="25.5">
      <c r="A427" s="808" t="s">
        <v>520</v>
      </c>
      <c r="B427" s="808"/>
      <c r="C427" s="808"/>
      <c r="D427" s="808"/>
      <c r="E427" s="808"/>
      <c r="F427" s="808"/>
      <c r="G427" s="808"/>
      <c r="H427" s="808"/>
    </row>
    <row r="428" spans="1:12" s="36" customFormat="1" ht="25.5">
      <c r="A428" s="808" t="s">
        <v>521</v>
      </c>
      <c r="B428" s="808"/>
      <c r="C428" s="808"/>
      <c r="D428" s="808"/>
      <c r="E428" s="808"/>
      <c r="F428" s="808"/>
      <c r="G428" s="808"/>
      <c r="H428" s="808"/>
    </row>
    <row r="429" spans="1:12" s="36" customFormat="1" ht="25.5">
      <c r="A429" s="808" t="s">
        <v>521</v>
      </c>
      <c r="B429" s="808"/>
      <c r="C429" s="808"/>
      <c r="D429" s="808"/>
      <c r="E429" s="808"/>
      <c r="F429" s="808"/>
      <c r="G429" s="808"/>
      <c r="H429" s="808"/>
    </row>
    <row r="430" spans="1:12" s="36" customFormat="1" ht="25.5">
      <c r="A430" s="808" t="s">
        <v>522</v>
      </c>
      <c r="B430" s="808"/>
      <c r="C430" s="808"/>
      <c r="D430" s="808"/>
      <c r="E430" s="808"/>
      <c r="F430" s="808"/>
      <c r="G430" s="808"/>
      <c r="H430" s="808"/>
    </row>
    <row r="431" spans="1:12" s="36" customFormat="1" ht="27" customHeight="1">
      <c r="A431" s="261"/>
      <c r="B431" s="261"/>
      <c r="C431" s="261"/>
      <c r="D431" s="261"/>
      <c r="E431" s="261"/>
      <c r="F431" s="261"/>
      <c r="G431" s="261"/>
      <c r="H431" s="261"/>
    </row>
    <row r="432" spans="1:12" s="469" customFormat="1" ht="28.5">
      <c r="A432" s="158" t="s">
        <v>116</v>
      </c>
      <c r="B432" s="158" t="s">
        <v>652</v>
      </c>
      <c r="C432" s="383"/>
      <c r="D432" s="383"/>
      <c r="E432" s="383"/>
      <c r="F432" s="206"/>
      <c r="G432" s="206"/>
      <c r="H432" s="383"/>
    </row>
    <row r="433" spans="1:9" s="469" customFormat="1" ht="29.25" thickBot="1">
      <c r="A433" s="453"/>
      <c r="B433" s="376"/>
      <c r="C433" s="583"/>
      <c r="D433" s="383"/>
      <c r="E433" s="383"/>
      <c r="F433" s="374">
        <v>1398</v>
      </c>
      <c r="G433" s="206"/>
      <c r="H433" s="374">
        <v>1397</v>
      </c>
    </row>
    <row r="434" spans="1:9" s="469" customFormat="1">
      <c r="A434" s="382"/>
      <c r="B434" s="583"/>
      <c r="C434" s="583"/>
      <c r="D434" s="383"/>
      <c r="E434" s="383"/>
      <c r="F434" s="361" t="s">
        <v>199</v>
      </c>
      <c r="G434" s="206"/>
      <c r="H434" s="361" t="s">
        <v>199</v>
      </c>
    </row>
    <row r="435" spans="1:9" s="469" customFormat="1" ht="33.75" customHeight="1">
      <c r="A435" s="382"/>
      <c r="B435" s="383" t="s">
        <v>673</v>
      </c>
      <c r="C435" s="583"/>
      <c r="D435" s="383"/>
      <c r="E435" s="383"/>
      <c r="F435" s="723">
        <v>-6267448227</v>
      </c>
      <c r="G435" s="206"/>
      <c r="H435" s="723">
        <f>-1275128576</f>
        <v>-1275128576</v>
      </c>
    </row>
    <row r="436" spans="1:9" s="469" customFormat="1" ht="33.75" customHeight="1">
      <c r="A436" s="382"/>
      <c r="B436" s="383" t="s">
        <v>951</v>
      </c>
      <c r="C436" s="583"/>
      <c r="D436" s="383"/>
      <c r="E436" s="383"/>
      <c r="F436" s="723">
        <v>1355901000</v>
      </c>
      <c r="G436" s="206"/>
      <c r="H436" s="723">
        <v>0</v>
      </c>
    </row>
    <row r="437" spans="1:9" s="469" customFormat="1" ht="33.75" customHeight="1">
      <c r="A437" s="382"/>
      <c r="B437" s="383" t="s">
        <v>952</v>
      </c>
      <c r="C437" s="583"/>
      <c r="D437" s="383"/>
      <c r="E437" s="383"/>
      <c r="F437" s="723">
        <v>1052501129</v>
      </c>
      <c r="G437" s="206"/>
      <c r="H437" s="723">
        <v>0</v>
      </c>
    </row>
    <row r="438" spans="1:9" s="469" customFormat="1" ht="33.75" customHeight="1" thickBot="1">
      <c r="A438" s="382"/>
      <c r="B438" s="583" t="s">
        <v>20</v>
      </c>
      <c r="C438" s="583"/>
      <c r="D438" s="383"/>
      <c r="E438" s="383"/>
      <c r="F438" s="724">
        <f>SUM(F435:F437)</f>
        <v>-3859046098</v>
      </c>
      <c r="G438" s="206"/>
      <c r="H438" s="724">
        <f>SUM(H435:H437)</f>
        <v>-1275128576</v>
      </c>
    </row>
    <row r="439" spans="1:9" ht="27.75" thickTop="1">
      <c r="C439" s="263"/>
      <c r="D439" s="244"/>
      <c r="E439" s="264"/>
      <c r="I439" s="7"/>
    </row>
    <row r="440" spans="1:9">
      <c r="C440" s="263"/>
      <c r="D440" s="244"/>
      <c r="E440" s="264"/>
      <c r="I440" s="7"/>
    </row>
    <row r="441" spans="1:9" ht="27" customHeight="1">
      <c r="C441" s="263"/>
      <c r="D441" s="244"/>
      <c r="E441" s="264"/>
      <c r="I441" s="7"/>
    </row>
    <row r="442" spans="1:9">
      <c r="C442" s="263"/>
      <c r="D442" s="244"/>
      <c r="E442" s="264"/>
      <c r="I442" s="7"/>
    </row>
    <row r="443" spans="1:9">
      <c r="C443" s="263"/>
      <c r="D443" s="244"/>
      <c r="E443" s="264"/>
      <c r="I443" s="7"/>
    </row>
    <row r="444" spans="1:9">
      <c r="C444" s="263"/>
      <c r="D444" s="244"/>
      <c r="E444" s="264"/>
      <c r="I444" s="7"/>
    </row>
    <row r="445" spans="1:9">
      <c r="C445" s="263"/>
      <c r="D445" s="244"/>
      <c r="E445" s="264"/>
      <c r="I445" s="7"/>
    </row>
    <row r="446" spans="1:9" ht="30.75" customHeight="1">
      <c r="C446" s="263"/>
      <c r="D446" s="244"/>
      <c r="E446" s="264"/>
      <c r="I446" s="7"/>
    </row>
    <row r="447" spans="1:9" ht="30.75" customHeight="1">
      <c r="C447" s="263"/>
      <c r="D447" s="244"/>
      <c r="E447" s="264"/>
      <c r="I447" s="7"/>
    </row>
    <row r="448" spans="1:9" ht="30.75" customHeight="1">
      <c r="C448" s="263"/>
      <c r="D448" s="244"/>
      <c r="E448" s="264"/>
      <c r="I448" s="7"/>
    </row>
    <row r="449" spans="1:10" s="139" customFormat="1" ht="28.5">
      <c r="A449" s="559" t="s">
        <v>806</v>
      </c>
      <c r="B449" s="363"/>
      <c r="C449" s="465"/>
      <c r="D449" s="165"/>
      <c r="E449" s="138"/>
      <c r="F449" s="138"/>
      <c r="G449" s="138"/>
      <c r="H449" s="138"/>
      <c r="I449" s="138"/>
    </row>
    <row r="450" spans="1:10" s="139" customFormat="1" ht="29.25" thickBot="1">
      <c r="A450" s="158">
        <v>-29</v>
      </c>
      <c r="B450" s="158" t="s">
        <v>542</v>
      </c>
      <c r="C450" s="465"/>
      <c r="D450" s="378" t="s">
        <v>545</v>
      </c>
      <c r="E450" s="138"/>
      <c r="F450" s="360">
        <v>1398</v>
      </c>
      <c r="G450" s="206"/>
      <c r="H450" s="360">
        <v>1397</v>
      </c>
      <c r="I450" s="560"/>
    </row>
    <row r="451" spans="1:10" s="139" customFormat="1">
      <c r="A451" s="368"/>
      <c r="B451" s="465"/>
      <c r="C451" s="465"/>
      <c r="D451" s="165"/>
      <c r="E451" s="138"/>
      <c r="F451" s="361" t="s">
        <v>199</v>
      </c>
      <c r="G451" s="206"/>
      <c r="H451" s="361" t="s">
        <v>199</v>
      </c>
      <c r="I451" s="138"/>
    </row>
    <row r="452" spans="1:10" s="139" customFormat="1">
      <c r="A452" s="368"/>
      <c r="B452" s="465" t="s">
        <v>192</v>
      </c>
      <c r="C452" s="465"/>
      <c r="D452" s="452"/>
      <c r="E452" s="138"/>
      <c r="F452" s="138">
        <f>87410691669+17325548970</f>
        <v>104736240639</v>
      </c>
      <c r="G452" s="138"/>
      <c r="H452" s="138">
        <v>87410691669</v>
      </c>
      <c r="I452" s="138"/>
      <c r="J452" s="362"/>
    </row>
    <row r="453" spans="1:10" s="139" customFormat="1">
      <c r="A453" s="368"/>
      <c r="B453" s="465" t="s">
        <v>193</v>
      </c>
      <c r="C453" s="465"/>
      <c r="D453" s="452"/>
      <c r="E453" s="138"/>
      <c r="F453" s="138">
        <f>40679648435+42235458877</f>
        <v>82915107312</v>
      </c>
      <c r="G453" s="138"/>
      <c r="H453" s="138">
        <v>40679648435</v>
      </c>
      <c r="I453" s="138"/>
      <c r="J453" s="362"/>
    </row>
    <row r="454" spans="1:10" s="139" customFormat="1">
      <c r="A454" s="368"/>
      <c r="B454" s="465" t="s">
        <v>194</v>
      </c>
      <c r="C454" s="465"/>
      <c r="D454" s="452"/>
      <c r="E454" s="138"/>
      <c r="F454" s="138">
        <f>11340112930+9946405790</f>
        <v>21286518720</v>
      </c>
      <c r="G454" s="138"/>
      <c r="H454" s="138">
        <v>11340112930</v>
      </c>
      <c r="I454" s="138"/>
      <c r="J454" s="362">
        <f>J452-J453</f>
        <v>0</v>
      </c>
    </row>
    <row r="455" spans="1:10" s="139" customFormat="1">
      <c r="A455" s="368"/>
      <c r="B455" s="465" t="s">
        <v>543</v>
      </c>
      <c r="C455" s="465"/>
      <c r="D455" s="452" t="s">
        <v>546</v>
      </c>
      <c r="E455" s="138"/>
      <c r="F455" s="138">
        <v>1073603123</v>
      </c>
      <c r="G455" s="138"/>
      <c r="H455" s="138">
        <v>1256412485</v>
      </c>
      <c r="I455" s="138"/>
      <c r="J455" s="362"/>
    </row>
    <row r="456" spans="1:10" s="139" customFormat="1">
      <c r="A456" s="368"/>
      <c r="B456" s="465" t="s">
        <v>863</v>
      </c>
      <c r="C456" s="465"/>
      <c r="D456" s="452"/>
      <c r="E456" s="138"/>
      <c r="F456" s="138">
        <v>8784251000</v>
      </c>
      <c r="G456" s="138"/>
      <c r="H456" s="138">
        <v>0</v>
      </c>
      <c r="I456" s="138"/>
      <c r="J456" s="362"/>
    </row>
    <row r="457" spans="1:10" s="139" customFormat="1">
      <c r="A457" s="368"/>
      <c r="B457" s="465" t="s">
        <v>628</v>
      </c>
      <c r="C457" s="465"/>
      <c r="D457" s="452"/>
      <c r="E457" s="138"/>
      <c r="F457" s="138">
        <v>15100000000</v>
      </c>
      <c r="G457" s="138"/>
      <c r="H457" s="138">
        <v>12030000000</v>
      </c>
      <c r="I457" s="138"/>
      <c r="J457" s="362"/>
    </row>
    <row r="458" spans="1:10" s="139" customFormat="1" ht="27.75" thickBot="1">
      <c r="A458" s="368"/>
      <c r="C458" s="465"/>
      <c r="D458" s="165"/>
      <c r="E458" s="138"/>
      <c r="F458" s="238">
        <f>SUM(F452:F457)</f>
        <v>233895720794</v>
      </c>
      <c r="G458" s="138"/>
      <c r="H458" s="238">
        <f>SUM(H452:H457)</f>
        <v>152716865519</v>
      </c>
      <c r="I458" s="138"/>
    </row>
    <row r="459" spans="1:10" ht="27.75" thickTop="1">
      <c r="A459" s="241"/>
      <c r="B459" s="263"/>
      <c r="C459" s="263"/>
    </row>
    <row r="460" spans="1:10">
      <c r="B460" s="263"/>
      <c r="C460" s="265"/>
      <c r="F460" s="240"/>
      <c r="H460" s="240"/>
    </row>
    <row r="461" spans="1:10" s="562" customFormat="1" ht="28.5">
      <c r="A461" s="158">
        <v>-29</v>
      </c>
      <c r="B461" s="158" t="s">
        <v>19</v>
      </c>
      <c r="C461" s="465"/>
      <c r="D461" s="465"/>
      <c r="E461" s="465"/>
      <c r="F461" s="465"/>
      <c r="G461" s="370"/>
      <c r="H461" s="370"/>
      <c r="I461" s="561"/>
    </row>
    <row r="462" spans="1:10" s="562" customFormat="1">
      <c r="A462" s="563"/>
      <c r="B462" s="809" t="s">
        <v>695</v>
      </c>
      <c r="C462" s="809"/>
      <c r="D462" s="809"/>
      <c r="E462" s="809"/>
      <c r="F462" s="809"/>
      <c r="G462" s="370"/>
      <c r="H462" s="370"/>
      <c r="I462" s="561"/>
    </row>
    <row r="463" spans="1:10" s="562" customFormat="1">
      <c r="A463" s="563"/>
      <c r="B463" s="465" t="s">
        <v>696</v>
      </c>
      <c r="C463" s="465"/>
      <c r="D463" s="564"/>
      <c r="E463" s="370"/>
      <c r="F463" s="370"/>
      <c r="G463" s="370"/>
      <c r="H463" s="370"/>
      <c r="I463" s="561"/>
    </row>
    <row r="464" spans="1:10" s="562" customFormat="1">
      <c r="A464" s="563"/>
      <c r="B464" s="465"/>
      <c r="C464" s="465"/>
      <c r="D464" s="564"/>
      <c r="E464" s="370"/>
      <c r="F464" s="370"/>
      <c r="G464" s="370"/>
      <c r="H464" s="370"/>
      <c r="I464" s="561"/>
    </row>
    <row r="465" spans="1:9" s="458" customFormat="1" ht="28.5">
      <c r="A465" s="158">
        <v>-30</v>
      </c>
      <c r="B465" s="158" t="s">
        <v>832</v>
      </c>
      <c r="C465" s="565"/>
      <c r="D465" s="165"/>
      <c r="E465" s="138"/>
      <c r="F465" s="138"/>
      <c r="G465" s="138"/>
      <c r="H465" s="138"/>
      <c r="I465" s="566"/>
    </row>
    <row r="466" spans="1:9" s="458" customFormat="1">
      <c r="A466" s="368"/>
      <c r="B466" s="809" t="s">
        <v>526</v>
      </c>
      <c r="C466" s="809"/>
      <c r="D466" s="809"/>
      <c r="E466" s="809"/>
      <c r="F466" s="809"/>
      <c r="G466" s="138"/>
      <c r="H466" s="138"/>
      <c r="I466" s="566"/>
    </row>
    <row r="467" spans="1:9" s="458" customFormat="1">
      <c r="A467" s="368"/>
      <c r="B467" s="565" t="s">
        <v>196</v>
      </c>
      <c r="C467" s="565"/>
      <c r="D467" s="165"/>
      <c r="E467" s="138"/>
      <c r="F467" s="138"/>
      <c r="G467" s="138"/>
      <c r="H467" s="138"/>
      <c r="I467" s="566"/>
    </row>
    <row r="468" spans="1:9">
      <c r="A468" s="241"/>
      <c r="B468" s="265"/>
    </row>
    <row r="469" spans="1:9">
      <c r="A469" s="7"/>
      <c r="C469" s="7" t="s">
        <v>116</v>
      </c>
      <c r="D469" s="7"/>
      <c r="E469" s="7"/>
      <c r="F469" s="7"/>
      <c r="G469" s="7"/>
      <c r="H469" s="7"/>
      <c r="I469" s="7"/>
    </row>
  </sheetData>
  <mergeCells count="37">
    <mergeCell ref="D92:D93"/>
    <mergeCell ref="B466:F466"/>
    <mergeCell ref="B158:H158"/>
    <mergeCell ref="A424:H424"/>
    <mergeCell ref="A428:H428"/>
    <mergeCell ref="A430:H430"/>
    <mergeCell ref="A425:H425"/>
    <mergeCell ref="A426:H426"/>
    <mergeCell ref="A427:H427"/>
    <mergeCell ref="A429:H429"/>
    <mergeCell ref="A420:H420"/>
    <mergeCell ref="A421:H421"/>
    <mergeCell ref="A422:H422"/>
    <mergeCell ref="A419:H419"/>
    <mergeCell ref="B284:H284"/>
    <mergeCell ref="B96:H96"/>
    <mergeCell ref="J151:P151"/>
    <mergeCell ref="A423:H423"/>
    <mergeCell ref="B462:F462"/>
    <mergeCell ref="A1:H1"/>
    <mergeCell ref="A2:H2"/>
    <mergeCell ref="A3:H3"/>
    <mergeCell ref="D305:D307"/>
    <mergeCell ref="D312:D313"/>
    <mergeCell ref="D108:D110"/>
    <mergeCell ref="D116:D117"/>
    <mergeCell ref="B293:H293"/>
    <mergeCell ref="A130:H130"/>
    <mergeCell ref="D135:D138"/>
    <mergeCell ref="D144:D149"/>
    <mergeCell ref="B151:H151"/>
    <mergeCell ref="B31:H31"/>
    <mergeCell ref="B211:H211"/>
    <mergeCell ref="B212:H212"/>
    <mergeCell ref="D168:D169"/>
    <mergeCell ref="D154:D156"/>
    <mergeCell ref="D161:D163"/>
  </mergeCells>
  <printOptions horizontalCentered="1"/>
  <pageMargins left="0.23622047244094491" right="0.23622047244094491" top="0.35433070866141736" bottom="0.51181102362204722" header="0.27559055118110237" footer="0.15748031496062992"/>
  <pageSetup paperSize="9" scale="59" firstPageNumber="22" fitToHeight="6" orientation="portrait" useFirstPageNumber="1" r:id="rId1"/>
  <headerFooter scaleWithDoc="0" alignWithMargins="0">
    <oddFooter>&amp;C&amp;"B Titr,Bold"&amp;12
&amp;14&amp;P</oddFooter>
  </headerFooter>
  <rowBreaks count="5" manualBreakCount="5">
    <brk id="220" max="7" man="1"/>
    <brk id="268" max="7" man="1"/>
    <brk id="314" max="7" man="1"/>
    <brk id="357" max="7" man="1"/>
    <brk id="403" max="7"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6"/>
  <sheetViews>
    <sheetView rightToLeft="1" view="pageBreakPreview" topLeftCell="A13" zoomScale="60" zoomScaleNormal="25" workbookViewId="0">
      <selection activeCell="I16" sqref="I16"/>
    </sheetView>
  </sheetViews>
  <sheetFormatPr defaultRowHeight="12.75"/>
  <cols>
    <col min="1" max="1" width="9" customWidth="1"/>
    <col min="2" max="2" width="68.85546875" bestFit="1" customWidth="1"/>
    <col min="3" max="3" width="7.5703125" bestFit="1" customWidth="1"/>
    <col min="4" max="4" width="18.42578125" bestFit="1" customWidth="1"/>
    <col min="5" max="5" width="6" customWidth="1"/>
    <col min="6" max="6" width="18.42578125" bestFit="1" customWidth="1"/>
    <col min="8" max="8" width="2.7109375" bestFit="1" customWidth="1"/>
  </cols>
  <sheetData>
    <row r="1" spans="1:6" s="469" customFormat="1" ht="28.5">
      <c r="A1" s="158">
        <v>-28</v>
      </c>
      <c r="B1" s="158" t="s">
        <v>652</v>
      </c>
      <c r="C1" s="383"/>
      <c r="D1" s="206"/>
      <c r="E1" s="206"/>
      <c r="F1" s="383"/>
    </row>
    <row r="2" spans="1:6" s="469" customFormat="1" ht="29.25" thickBot="1">
      <c r="A2" s="453"/>
      <c r="B2" s="376"/>
      <c r="C2" s="383"/>
      <c r="D2" s="374">
        <v>1398</v>
      </c>
      <c r="E2" s="206"/>
      <c r="F2" s="374">
        <v>1397</v>
      </c>
    </row>
    <row r="3" spans="1:6" s="469" customFormat="1" ht="27">
      <c r="A3" s="382"/>
      <c r="B3" s="583"/>
      <c r="C3" s="383"/>
      <c r="D3" s="361" t="s">
        <v>199</v>
      </c>
      <c r="E3" s="206"/>
      <c r="F3" s="361" t="s">
        <v>199</v>
      </c>
    </row>
    <row r="4" spans="1:6" s="469" customFormat="1" ht="31.5" customHeight="1">
      <c r="A4" s="382"/>
      <c r="B4" s="383" t="s">
        <v>673</v>
      </c>
      <c r="C4" s="383"/>
      <c r="D4" s="723">
        <v>-6267448227</v>
      </c>
      <c r="E4" s="206"/>
      <c r="F4" s="723">
        <f>-1275128576</f>
        <v>-1275128576</v>
      </c>
    </row>
    <row r="5" spans="1:6" s="469" customFormat="1" ht="31.5" customHeight="1">
      <c r="A5" s="382"/>
      <c r="B5" s="383" t="s">
        <v>951</v>
      </c>
      <c r="C5" s="383"/>
      <c r="D5" s="723">
        <v>1355901000</v>
      </c>
      <c r="E5" s="206"/>
      <c r="F5" s="723">
        <v>0</v>
      </c>
    </row>
    <row r="6" spans="1:6" s="469" customFormat="1" ht="31.5" customHeight="1">
      <c r="A6" s="382"/>
      <c r="B6" s="383" t="s">
        <v>952</v>
      </c>
      <c r="C6" s="383"/>
      <c r="D6" s="723">
        <v>1052501129</v>
      </c>
      <c r="E6" s="206"/>
      <c r="F6" s="723">
        <v>0</v>
      </c>
    </row>
    <row r="7" spans="1:6" s="469" customFormat="1" ht="33.75" customHeight="1" thickBot="1">
      <c r="A7" s="382"/>
      <c r="B7" s="583" t="s">
        <v>20</v>
      </c>
      <c r="C7" s="383"/>
      <c r="D7" s="724">
        <f>SUM(D4:D6)</f>
        <v>-3859046098</v>
      </c>
      <c r="E7" s="206"/>
      <c r="F7" s="724">
        <f>SUM(F4:F6)</f>
        <v>-1275128576</v>
      </c>
    </row>
    <row r="8" spans="1:6" s="7" customFormat="1" ht="27.75" thickTop="1">
      <c r="A8" s="262"/>
      <c r="C8" s="244"/>
      <c r="D8" s="34"/>
      <c r="E8" s="34"/>
      <c r="F8" s="34"/>
    </row>
    <row r="9" spans="1:6" s="7" customFormat="1" ht="27">
      <c r="A9" s="262"/>
      <c r="C9" s="244"/>
      <c r="D9" s="34"/>
      <c r="E9" s="34"/>
      <c r="F9" s="34"/>
    </row>
    <row r="10" spans="1:6" s="7" customFormat="1" ht="27" customHeight="1">
      <c r="A10" s="262"/>
      <c r="C10" s="244"/>
      <c r="D10" s="34"/>
      <c r="E10" s="34"/>
      <c r="F10" s="34"/>
    </row>
    <row r="11" spans="1:6" s="7" customFormat="1" ht="27">
      <c r="A11" s="262"/>
      <c r="C11" s="244"/>
      <c r="D11" s="34"/>
      <c r="E11" s="34"/>
      <c r="F11" s="34"/>
    </row>
    <row r="12" spans="1:6" s="7" customFormat="1" ht="27">
      <c r="A12" s="262"/>
      <c r="C12" s="244"/>
      <c r="D12" s="34"/>
      <c r="E12" s="34"/>
      <c r="F12" s="34"/>
    </row>
    <row r="13" spans="1:6" s="7" customFormat="1" ht="27">
      <c r="A13" s="262"/>
      <c r="C13" s="244"/>
      <c r="D13" s="34"/>
      <c r="E13" s="34"/>
      <c r="F13" s="34"/>
    </row>
    <row r="14" spans="1:6" s="7" customFormat="1" ht="27">
      <c r="A14" s="262"/>
      <c r="C14" s="244"/>
      <c r="D14" s="34"/>
      <c r="E14" s="34"/>
      <c r="F14" s="34"/>
    </row>
    <row r="15" spans="1:6" s="7" customFormat="1" ht="30.75" customHeight="1">
      <c r="A15" s="262"/>
      <c r="C15" s="244"/>
      <c r="D15" s="34"/>
      <c r="E15" s="34"/>
      <c r="F15" s="34"/>
    </row>
    <row r="16" spans="1:6" s="7" customFormat="1" ht="30.75" customHeight="1">
      <c r="A16" s="262"/>
      <c r="C16" s="244"/>
      <c r="D16" s="34"/>
      <c r="E16" s="34"/>
      <c r="F16" s="34"/>
    </row>
    <row r="17" spans="1:8" s="7" customFormat="1" ht="19.5" customHeight="1">
      <c r="A17" s="262"/>
      <c r="C17" s="244"/>
      <c r="D17" s="34"/>
      <c r="E17" s="34"/>
      <c r="F17" s="34"/>
    </row>
    <row r="18" spans="1:8" s="139" customFormat="1" ht="28.5">
      <c r="A18" s="559" t="s">
        <v>806</v>
      </c>
      <c r="B18" s="363"/>
      <c r="C18" s="165"/>
      <c r="D18" s="138"/>
      <c r="E18" s="138"/>
      <c r="F18" s="138"/>
      <c r="G18" s="138"/>
    </row>
    <row r="19" spans="1:8" s="139" customFormat="1" ht="29.25" thickBot="1">
      <c r="A19" s="158">
        <v>-29</v>
      </c>
      <c r="B19" s="158" t="s">
        <v>542</v>
      </c>
      <c r="C19" s="378" t="s">
        <v>545</v>
      </c>
      <c r="D19" s="360">
        <v>1398</v>
      </c>
      <c r="E19" s="206"/>
      <c r="F19" s="360">
        <v>1397</v>
      </c>
      <c r="G19" s="560"/>
    </row>
    <row r="20" spans="1:8" s="139" customFormat="1" ht="27">
      <c r="A20" s="368"/>
      <c r="B20" s="465"/>
      <c r="C20" s="165"/>
      <c r="D20" s="361" t="s">
        <v>199</v>
      </c>
      <c r="E20" s="206"/>
      <c r="F20" s="361" t="s">
        <v>199</v>
      </c>
      <c r="G20" s="138"/>
    </row>
    <row r="21" spans="1:8" s="139" customFormat="1" ht="27">
      <c r="A21" s="368"/>
      <c r="B21" s="465" t="s">
        <v>192</v>
      </c>
      <c r="C21" s="452"/>
      <c r="D21" s="138">
        <f>87410691669+17325548970</f>
        <v>104736240639</v>
      </c>
      <c r="E21" s="138"/>
      <c r="F21" s="138">
        <v>87410691669</v>
      </c>
      <c r="G21" s="138"/>
      <c r="H21" s="362"/>
    </row>
    <row r="22" spans="1:8" s="139" customFormat="1" ht="27">
      <c r="A22" s="368"/>
      <c r="B22" s="465" t="s">
        <v>193</v>
      </c>
      <c r="C22" s="452"/>
      <c r="D22" s="138">
        <f>40679648435+42235458877</f>
        <v>82915107312</v>
      </c>
      <c r="E22" s="138"/>
      <c r="F22" s="138">
        <v>40679648435</v>
      </c>
      <c r="G22" s="138"/>
      <c r="H22" s="362"/>
    </row>
    <row r="23" spans="1:8" s="139" customFormat="1" ht="27">
      <c r="A23" s="368"/>
      <c r="B23" s="465" t="s">
        <v>194</v>
      </c>
      <c r="C23" s="452"/>
      <c r="D23" s="138">
        <f>11340112930+9946405790</f>
        <v>21286518720</v>
      </c>
      <c r="E23" s="138"/>
      <c r="F23" s="138">
        <v>11340112930</v>
      </c>
      <c r="G23" s="138"/>
      <c r="H23" s="362">
        <f>H21-H22</f>
        <v>0</v>
      </c>
    </row>
    <row r="24" spans="1:8" s="139" customFormat="1" ht="27">
      <c r="A24" s="368"/>
      <c r="B24" s="465" t="s">
        <v>543</v>
      </c>
      <c r="C24" s="452" t="s">
        <v>546</v>
      </c>
      <c r="D24" s="138">
        <v>1073603123</v>
      </c>
      <c r="E24" s="138"/>
      <c r="F24" s="138">
        <v>1256412485</v>
      </c>
      <c r="G24" s="138"/>
      <c r="H24" s="362"/>
    </row>
    <row r="25" spans="1:8" s="139" customFormat="1" ht="27">
      <c r="A25" s="368"/>
      <c r="B25" s="465" t="s">
        <v>863</v>
      </c>
      <c r="C25" s="452"/>
      <c r="D25" s="138">
        <v>8784251000</v>
      </c>
      <c r="E25" s="138"/>
      <c r="F25" s="138">
        <v>0</v>
      </c>
      <c r="G25" s="138"/>
      <c r="H25" s="362"/>
    </row>
    <row r="26" spans="1:8" s="139" customFormat="1" ht="27">
      <c r="A26" s="368"/>
      <c r="B26" s="465" t="s">
        <v>628</v>
      </c>
      <c r="C26" s="452"/>
      <c r="D26" s="138">
        <v>15100000000</v>
      </c>
      <c r="E26" s="138"/>
      <c r="F26" s="138">
        <v>12030000000</v>
      </c>
      <c r="G26" s="138"/>
      <c r="H26" s="362"/>
    </row>
    <row r="27" spans="1:8" s="139" customFormat="1" ht="27.75" thickBot="1">
      <c r="A27" s="368"/>
      <c r="C27" s="165"/>
      <c r="D27" s="238">
        <f>SUM(D21:D26)</f>
        <v>233895720794</v>
      </c>
      <c r="E27" s="138"/>
      <c r="F27" s="238">
        <f>SUM(F21:F26)</f>
        <v>152716865519</v>
      </c>
      <c r="G27" s="138"/>
    </row>
    <row r="28" spans="1:8" s="7" customFormat="1" ht="27.75" thickTop="1">
      <c r="A28" s="241"/>
      <c r="B28" s="263"/>
      <c r="C28" s="245"/>
      <c r="D28" s="34"/>
      <c r="E28" s="34"/>
      <c r="F28" s="34"/>
      <c r="G28" s="34"/>
    </row>
    <row r="29" spans="1:8" s="562" customFormat="1" ht="28.5">
      <c r="A29" s="158">
        <v>-30</v>
      </c>
      <c r="B29" s="158" t="s">
        <v>19</v>
      </c>
      <c r="C29" s="465"/>
      <c r="D29" s="465"/>
      <c r="E29" s="370"/>
      <c r="F29" s="370"/>
      <c r="G29" s="561"/>
    </row>
    <row r="30" spans="1:8" s="562" customFormat="1" ht="27">
      <c r="A30" s="563"/>
      <c r="B30" s="809" t="s">
        <v>695</v>
      </c>
      <c r="C30" s="809"/>
      <c r="D30" s="809"/>
      <c r="E30" s="370"/>
      <c r="F30" s="370"/>
      <c r="G30" s="561"/>
    </row>
    <row r="31" spans="1:8" s="562" customFormat="1" ht="27">
      <c r="A31" s="563"/>
      <c r="B31" s="465" t="s">
        <v>696</v>
      </c>
      <c r="C31" s="564"/>
      <c r="D31" s="370"/>
      <c r="E31" s="370"/>
      <c r="F31" s="370"/>
      <c r="G31" s="561"/>
    </row>
    <row r="32" spans="1:8" s="139" customFormat="1" ht="27">
      <c r="A32" s="563"/>
      <c r="B32" s="465"/>
      <c r="C32" s="165"/>
      <c r="D32" s="138"/>
      <c r="E32" s="138"/>
      <c r="F32" s="138"/>
      <c r="G32" s="138"/>
    </row>
    <row r="33" spans="1:7" s="458" customFormat="1" ht="28.5">
      <c r="A33" s="158">
        <v>-31</v>
      </c>
      <c r="B33" s="158" t="s">
        <v>832</v>
      </c>
      <c r="C33" s="165"/>
      <c r="D33" s="138"/>
      <c r="E33" s="138"/>
      <c r="F33" s="138"/>
      <c r="G33" s="566"/>
    </row>
    <row r="34" spans="1:7" s="458" customFormat="1" ht="27">
      <c r="A34" s="368"/>
      <c r="B34" s="809" t="s">
        <v>526</v>
      </c>
      <c r="C34" s="809"/>
      <c r="D34" s="809"/>
      <c r="E34" s="138"/>
      <c r="F34" s="138"/>
      <c r="G34" s="566"/>
    </row>
    <row r="35" spans="1:7" s="458" customFormat="1" ht="27">
      <c r="A35" s="368"/>
      <c r="B35" s="565" t="s">
        <v>196</v>
      </c>
      <c r="C35" s="165"/>
      <c r="D35" s="138"/>
      <c r="E35" s="138"/>
      <c r="F35" s="138"/>
      <c r="G35" s="566"/>
    </row>
    <row r="36" spans="1:7" ht="21.75" customHeight="1">
      <c r="B36" s="565"/>
      <c r="C36" s="565"/>
      <c r="D36" s="565"/>
    </row>
  </sheetData>
  <mergeCells count="2">
    <mergeCell ref="B30:D30"/>
    <mergeCell ref="B34:D34"/>
  </mergeCells>
  <pageMargins left="0.70866141732283472" right="0.70866141732283472" top="0.74803149606299213" bottom="0.74803149606299213" header="0.31496062992125984" footer="0.31496062992125984"/>
  <pageSetup scale="70" orientation="portrait" verticalDpi="300" r:id="rId1"/>
  <headerFooter>
    <oddFooter>&amp;C&amp;"B Lotus,Bold"&amp;14 &amp;18 &amp;"B Titr,Bold"43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85"/>
  <sheetViews>
    <sheetView rightToLeft="1" view="pageBreakPreview" zoomScale="70" zoomScaleNormal="85" zoomScaleSheetLayoutView="70" workbookViewId="0">
      <selection activeCell="C15" sqref="C15"/>
    </sheetView>
  </sheetViews>
  <sheetFormatPr defaultColWidth="10.28515625" defaultRowHeight="18.75"/>
  <cols>
    <col min="1" max="1" width="4.42578125" style="311" customWidth="1"/>
    <col min="2" max="2" width="35.7109375" style="298" customWidth="1"/>
    <col min="3" max="3" width="21.7109375" style="312" customWidth="1"/>
    <col min="4" max="4" width="24" style="312" customWidth="1"/>
    <col min="5" max="5" width="23.28515625" style="312" customWidth="1"/>
    <col min="6" max="6" width="24.140625" style="312" customWidth="1"/>
    <col min="7" max="8" width="11.140625" style="312" hidden="1" customWidth="1"/>
    <col min="9" max="9" width="16" style="312" hidden="1" customWidth="1"/>
    <col min="10" max="10" width="16.5703125" style="312" hidden="1" customWidth="1"/>
    <col min="11" max="12" width="19.7109375" style="299" customWidth="1"/>
    <col min="13" max="13" width="10.28515625" style="298"/>
    <col min="14" max="14" width="15.5703125" style="298" bestFit="1" customWidth="1"/>
    <col min="15" max="15" width="16.28515625" style="298" bestFit="1" customWidth="1"/>
    <col min="16" max="16384" width="10.28515625" style="298"/>
  </cols>
  <sheetData>
    <row r="1" spans="1:15" ht="65.25" customHeight="1">
      <c r="A1" s="821" t="s">
        <v>729</v>
      </c>
      <c r="B1" s="821"/>
      <c r="C1" s="821"/>
      <c r="D1" s="821"/>
      <c r="E1" s="821"/>
      <c r="F1" s="821"/>
      <c r="G1" s="821"/>
      <c r="H1" s="821"/>
      <c r="I1" s="821"/>
      <c r="J1" s="821"/>
      <c r="K1" s="821"/>
      <c r="L1" s="821"/>
    </row>
    <row r="2" spans="1:15" ht="44.25" customHeight="1">
      <c r="A2" s="822" t="s">
        <v>430</v>
      </c>
      <c r="B2" s="822"/>
      <c r="C2" s="822"/>
      <c r="D2" s="822"/>
      <c r="E2" s="430"/>
      <c r="F2" s="430"/>
      <c r="G2" s="430"/>
      <c r="H2" s="430"/>
      <c r="I2" s="430"/>
      <c r="J2" s="430"/>
      <c r="K2" s="431"/>
      <c r="L2" s="431"/>
    </row>
    <row r="3" spans="1:15" s="300" customFormat="1" ht="66.75" customHeight="1">
      <c r="A3" s="823" t="s">
        <v>2</v>
      </c>
      <c r="B3" s="824"/>
      <c r="C3" s="827" t="s">
        <v>431</v>
      </c>
      <c r="D3" s="828"/>
      <c r="E3" s="827" t="s">
        <v>432</v>
      </c>
      <c r="F3" s="828"/>
      <c r="G3" s="827" t="s">
        <v>433</v>
      </c>
      <c r="H3" s="829"/>
      <c r="I3" s="827" t="s">
        <v>434</v>
      </c>
      <c r="J3" s="829"/>
      <c r="K3" s="830" t="s">
        <v>435</v>
      </c>
      <c r="L3" s="830"/>
    </row>
    <row r="4" spans="1:15" s="301" customFormat="1" ht="35.25" customHeight="1">
      <c r="A4" s="825"/>
      <c r="B4" s="826"/>
      <c r="C4" s="432" t="s">
        <v>449</v>
      </c>
      <c r="D4" s="432" t="s">
        <v>7</v>
      </c>
      <c r="E4" s="432" t="s">
        <v>449</v>
      </c>
      <c r="F4" s="432" t="s">
        <v>7</v>
      </c>
      <c r="G4" s="432" t="s">
        <v>449</v>
      </c>
      <c r="H4" s="549" t="s">
        <v>7</v>
      </c>
      <c r="I4" s="432" t="s">
        <v>449</v>
      </c>
      <c r="J4" s="432" t="s">
        <v>7</v>
      </c>
      <c r="K4" s="432" t="s">
        <v>449</v>
      </c>
      <c r="L4" s="432" t="s">
        <v>7</v>
      </c>
    </row>
    <row r="5" spans="1:15" s="302" customFormat="1" ht="58.5" customHeight="1">
      <c r="A5" s="831" t="s">
        <v>436</v>
      </c>
      <c r="B5" s="831"/>
      <c r="C5" s="433">
        <f>94000000+42500000+22500000</f>
        <v>159000000</v>
      </c>
      <c r="D5" s="433">
        <f>66811668+145500000</f>
        <v>212311668</v>
      </c>
      <c r="E5" s="433">
        <f>94000000+62500000</f>
        <v>156500000</v>
      </c>
      <c r="F5" s="433">
        <f>32598567+91554010-9554010</f>
        <v>114598567</v>
      </c>
      <c r="G5" s="550">
        <v>0</v>
      </c>
      <c r="H5" s="550">
        <v>0</v>
      </c>
      <c r="I5" s="433">
        <f t="shared" ref="I5:J10" si="0">E5+G5</f>
        <v>156500000</v>
      </c>
      <c r="J5" s="433">
        <f t="shared" si="0"/>
        <v>114598567</v>
      </c>
      <c r="K5" s="433">
        <f t="shared" ref="K5:L10" si="1">C5-I5</f>
        <v>2500000</v>
      </c>
      <c r="L5" s="433">
        <f t="shared" si="1"/>
        <v>97713101</v>
      </c>
      <c r="N5"/>
      <c r="O5"/>
    </row>
    <row r="6" spans="1:15" s="302" customFormat="1" ht="58.5" customHeight="1">
      <c r="A6" s="831" t="s">
        <v>437</v>
      </c>
      <c r="B6" s="831"/>
      <c r="C6" s="433">
        <v>93000000</v>
      </c>
      <c r="D6" s="433">
        <f>49383970+15176900</f>
        <v>64560870</v>
      </c>
      <c r="E6" s="433">
        <v>93000000</v>
      </c>
      <c r="F6" s="433">
        <f>39829960+15176900+9554010</f>
        <v>64560870</v>
      </c>
      <c r="G6" s="550">
        <v>0</v>
      </c>
      <c r="H6" s="550">
        <v>0</v>
      </c>
      <c r="I6" s="433">
        <f t="shared" si="0"/>
        <v>93000000</v>
      </c>
      <c r="J6" s="433">
        <f t="shared" si="0"/>
        <v>64560870</v>
      </c>
      <c r="K6" s="433">
        <f t="shared" si="1"/>
        <v>0</v>
      </c>
      <c r="L6" s="433">
        <f t="shared" si="1"/>
        <v>0</v>
      </c>
      <c r="N6"/>
      <c r="O6"/>
    </row>
    <row r="7" spans="1:15" s="302" customFormat="1" ht="58.5" customHeight="1">
      <c r="A7" s="831" t="s">
        <v>438</v>
      </c>
      <c r="B7" s="831"/>
      <c r="C7" s="433">
        <f>420102535+25000000</f>
        <v>445102535</v>
      </c>
      <c r="D7" s="433">
        <f>475000336+347162784</f>
        <v>822163120</v>
      </c>
      <c r="E7" s="433">
        <f>10000000+15000000</f>
        <v>25000000</v>
      </c>
      <c r="F7" s="433">
        <f>295587256+257532271-13841487</f>
        <v>539278040</v>
      </c>
      <c r="G7" s="550">
        <v>0</v>
      </c>
      <c r="H7" s="550">
        <v>0</v>
      </c>
      <c r="I7" s="433">
        <f t="shared" si="0"/>
        <v>25000000</v>
      </c>
      <c r="J7" s="433">
        <f t="shared" si="0"/>
        <v>539278040</v>
      </c>
      <c r="K7" s="433">
        <f t="shared" si="1"/>
        <v>420102535</v>
      </c>
      <c r="L7" s="433">
        <f t="shared" si="1"/>
        <v>282885080</v>
      </c>
      <c r="N7"/>
      <c r="O7"/>
    </row>
    <row r="8" spans="1:15" s="302" customFormat="1" ht="58.5" customHeight="1">
      <c r="A8" s="831" t="s">
        <v>439</v>
      </c>
      <c r="B8" s="831"/>
      <c r="C8" s="433">
        <v>0</v>
      </c>
      <c r="D8" s="433">
        <v>100481963</v>
      </c>
      <c r="E8" s="433">
        <v>0</v>
      </c>
      <c r="F8" s="550"/>
      <c r="G8" s="550">
        <v>0</v>
      </c>
      <c r="H8" s="550">
        <v>0</v>
      </c>
      <c r="I8" s="433">
        <f t="shared" si="0"/>
        <v>0</v>
      </c>
      <c r="J8" s="433">
        <f t="shared" si="0"/>
        <v>0</v>
      </c>
      <c r="K8" s="433">
        <f t="shared" si="1"/>
        <v>0</v>
      </c>
      <c r="L8" s="433">
        <f t="shared" si="1"/>
        <v>100481963</v>
      </c>
    </row>
    <row r="9" spans="1:15" s="302" customFormat="1" ht="58.5" customHeight="1">
      <c r="A9" s="831" t="s">
        <v>440</v>
      </c>
      <c r="B9" s="831"/>
      <c r="C9" s="433">
        <v>2531019824</v>
      </c>
      <c r="D9" s="433">
        <v>49739928</v>
      </c>
      <c r="E9" s="433">
        <v>2350388000</v>
      </c>
      <c r="F9" s="433">
        <f>49739928</f>
        <v>49739928</v>
      </c>
      <c r="G9" s="550">
        <v>0</v>
      </c>
      <c r="H9" s="550">
        <v>0</v>
      </c>
      <c r="I9" s="433">
        <f t="shared" si="0"/>
        <v>2350388000</v>
      </c>
      <c r="J9" s="433">
        <f t="shared" si="0"/>
        <v>49739928</v>
      </c>
      <c r="K9" s="433">
        <f t="shared" si="1"/>
        <v>180631824</v>
      </c>
      <c r="L9" s="433">
        <f t="shared" si="1"/>
        <v>0</v>
      </c>
    </row>
    <row r="10" spans="1:15" s="302" customFormat="1" ht="58.5" customHeight="1">
      <c r="A10" s="831" t="s">
        <v>441</v>
      </c>
      <c r="B10" s="831"/>
      <c r="C10" s="433">
        <v>0</v>
      </c>
      <c r="D10" s="433">
        <v>7154936</v>
      </c>
      <c r="E10" s="433">
        <v>0</v>
      </c>
      <c r="F10" s="550"/>
      <c r="G10" s="550">
        <v>0</v>
      </c>
      <c r="H10" s="550">
        <v>0</v>
      </c>
      <c r="I10" s="433">
        <f t="shared" si="0"/>
        <v>0</v>
      </c>
      <c r="J10" s="433">
        <f t="shared" si="0"/>
        <v>0</v>
      </c>
      <c r="K10" s="433">
        <f t="shared" si="1"/>
        <v>0</v>
      </c>
      <c r="L10" s="433">
        <f t="shared" si="1"/>
        <v>7154936</v>
      </c>
    </row>
    <row r="11" spans="1:15" s="302" customFormat="1" ht="44.25" customHeight="1">
      <c r="A11" s="832" t="s">
        <v>142</v>
      </c>
      <c r="B11" s="832"/>
      <c r="C11" s="434">
        <f>SUM(C5:C10)</f>
        <v>3228122359</v>
      </c>
      <c r="D11" s="434">
        <f>SUM(D5:D10)</f>
        <v>1256412485</v>
      </c>
      <c r="E11" s="434">
        <f>SUM(E5:E10)</f>
        <v>2624888000</v>
      </c>
      <c r="F11" s="434">
        <f>SUM(F5:F10)</f>
        <v>768177405</v>
      </c>
      <c r="G11" s="434">
        <f t="shared" ref="G11:L11" si="2">SUM(G5:G10)</f>
        <v>0</v>
      </c>
      <c r="H11" s="434">
        <f t="shared" si="2"/>
        <v>0</v>
      </c>
      <c r="I11" s="434">
        <f t="shared" si="2"/>
        <v>2624888000</v>
      </c>
      <c r="J11" s="434">
        <f t="shared" si="2"/>
        <v>768177405</v>
      </c>
      <c r="K11" s="434">
        <f t="shared" si="2"/>
        <v>603234359</v>
      </c>
      <c r="L11" s="434">
        <f t="shared" si="2"/>
        <v>488235080</v>
      </c>
    </row>
    <row r="12" spans="1:15" s="742" customFormat="1" ht="22.5" customHeight="1">
      <c r="A12" s="735"/>
      <c r="B12" s="736"/>
      <c r="C12" s="737"/>
      <c r="D12" s="746"/>
      <c r="E12" s="746"/>
      <c r="F12" s="737"/>
      <c r="G12" s="738" t="s">
        <v>116</v>
      </c>
      <c r="H12" s="739"/>
      <c r="I12" s="740" t="s">
        <v>116</v>
      </c>
      <c r="J12" s="741"/>
      <c r="K12" s="606"/>
      <c r="L12" s="606"/>
    </row>
    <row r="13" spans="1:15" s="742" customFormat="1" ht="25.5" customHeight="1">
      <c r="A13" s="735"/>
      <c r="B13" s="743"/>
      <c r="C13" s="741"/>
      <c r="D13" s="820">
        <v>13</v>
      </c>
      <c r="E13" s="820"/>
      <c r="F13" s="741"/>
      <c r="G13" s="744"/>
      <c r="H13" s="744"/>
      <c r="I13" s="744"/>
      <c r="J13" s="741"/>
      <c r="K13" s="745"/>
      <c r="L13" s="745"/>
    </row>
    <row r="14" spans="1:15" ht="24">
      <c r="A14" s="304"/>
      <c r="B14" s="305"/>
      <c r="C14" s="547">
        <f>3228122359</f>
        <v>3228122359</v>
      </c>
      <c r="D14" s="547">
        <f>1256412485</f>
        <v>1256412485</v>
      </c>
      <c r="E14" s="306"/>
      <c r="F14" s="306"/>
      <c r="G14" s="303"/>
      <c r="H14" s="306"/>
      <c r="I14" s="306"/>
      <c r="J14" s="303"/>
      <c r="K14" s="606">
        <f>'مانده پرداختهای غیر قطعی سن'!E41</f>
        <v>603234359</v>
      </c>
      <c r="L14" s="551">
        <f>'مانده پرداختهای غیر قطعی سن'!F41</f>
        <v>488235080</v>
      </c>
    </row>
    <row r="15" spans="1:15" ht="24">
      <c r="A15" s="304"/>
      <c r="B15" s="548" t="s">
        <v>804</v>
      </c>
      <c r="C15" s="307">
        <f>C11-C14</f>
        <v>0</v>
      </c>
      <c r="D15" s="307">
        <f>D11-D14</f>
        <v>0</v>
      </c>
      <c r="E15" s="306"/>
      <c r="F15" s="303"/>
      <c r="G15" s="303"/>
      <c r="H15" s="306"/>
      <c r="I15" s="306"/>
      <c r="J15" s="303"/>
      <c r="K15" s="551">
        <f>K11-K14</f>
        <v>0</v>
      </c>
      <c r="L15" s="551">
        <f>L11-L14</f>
        <v>0</v>
      </c>
    </row>
    <row r="16" spans="1:15" ht="24">
      <c r="A16" s="304"/>
      <c r="B16" s="305"/>
      <c r="C16" s="307"/>
      <c r="D16" s="307"/>
      <c r="E16" s="306"/>
      <c r="F16" s="303"/>
      <c r="G16" s="303"/>
      <c r="H16" s="306"/>
      <c r="I16" s="306"/>
      <c r="J16" s="303"/>
    </row>
    <row r="17" spans="1:10">
      <c r="A17" s="304"/>
      <c r="B17" s="305"/>
      <c r="C17" s="303"/>
      <c r="D17" s="303"/>
      <c r="E17" s="306"/>
      <c r="F17" s="303"/>
      <c r="G17" s="303"/>
      <c r="H17" s="306"/>
      <c r="I17" s="306"/>
      <c r="J17" s="303"/>
    </row>
    <row r="18" spans="1:10">
      <c r="A18" s="304"/>
      <c r="B18" s="305"/>
      <c r="C18" s="303"/>
      <c r="D18" s="303"/>
      <c r="E18" s="306"/>
      <c r="F18" s="306"/>
      <c r="G18" s="303"/>
      <c r="H18" s="306"/>
      <c r="I18" s="306"/>
      <c r="J18" s="303"/>
    </row>
    <row r="19" spans="1:10">
      <c r="A19" s="304"/>
      <c r="B19" s="305"/>
      <c r="C19" s="303"/>
      <c r="D19" s="303"/>
      <c r="E19" s="303"/>
      <c r="F19" s="303"/>
      <c r="G19" s="303"/>
      <c r="H19" s="306"/>
      <c r="I19" s="306"/>
      <c r="J19" s="303"/>
    </row>
    <row r="20" spans="1:10">
      <c r="A20" s="304"/>
      <c r="B20" s="305"/>
      <c r="C20" s="303"/>
      <c r="D20" s="303"/>
      <c r="E20" s="303"/>
      <c r="F20" s="303"/>
      <c r="G20" s="303"/>
      <c r="H20" s="306"/>
      <c r="I20" s="306"/>
      <c r="J20" s="303"/>
    </row>
    <row r="21" spans="1:10">
      <c r="A21" s="304"/>
      <c r="B21" s="305"/>
      <c r="C21" s="303"/>
      <c r="D21" s="303"/>
      <c r="E21" s="303"/>
      <c r="F21" s="303"/>
      <c r="G21" s="303"/>
      <c r="H21" s="306"/>
      <c r="I21" s="306"/>
      <c r="J21" s="303"/>
    </row>
    <row r="22" spans="1:10">
      <c r="A22" s="304"/>
      <c r="B22" s="305"/>
      <c r="C22" s="303"/>
      <c r="D22" s="303"/>
      <c r="E22" s="303"/>
      <c r="F22" s="303"/>
      <c r="G22" s="303"/>
      <c r="H22" s="306"/>
      <c r="I22" s="306"/>
      <c r="J22" s="303"/>
    </row>
    <row r="23" spans="1:10">
      <c r="A23" s="304"/>
      <c r="B23" s="305"/>
      <c r="C23" s="303"/>
      <c r="D23" s="303"/>
      <c r="E23" s="303"/>
      <c r="F23" s="303"/>
      <c r="G23" s="303"/>
      <c r="H23" s="306"/>
      <c r="I23" s="306"/>
      <c r="J23" s="303"/>
    </row>
    <row r="24" spans="1:10">
      <c r="A24" s="304"/>
      <c r="B24" s="305"/>
      <c r="C24" s="303"/>
      <c r="D24" s="303"/>
      <c r="E24" s="303"/>
      <c r="F24" s="303"/>
      <c r="G24" s="303"/>
      <c r="H24" s="306"/>
      <c r="I24" s="306"/>
      <c r="J24" s="303"/>
    </row>
    <row r="25" spans="1:10">
      <c r="A25" s="304"/>
      <c r="B25" s="305"/>
      <c r="C25" s="303"/>
      <c r="D25" s="303"/>
      <c r="E25" s="303"/>
      <c r="F25" s="303"/>
      <c r="G25" s="303"/>
      <c r="H25" s="306"/>
      <c r="I25" s="303"/>
      <c r="J25" s="303"/>
    </row>
    <row r="26" spans="1:10">
      <c r="A26" s="304"/>
      <c r="B26" s="305"/>
      <c r="C26" s="303"/>
      <c r="D26" s="303"/>
      <c r="E26" s="303"/>
      <c r="F26" s="303"/>
      <c r="G26" s="303"/>
      <c r="H26" s="306"/>
      <c r="I26" s="303"/>
      <c r="J26" s="303"/>
    </row>
    <row r="27" spans="1:10">
      <c r="A27" s="304"/>
      <c r="B27" s="305"/>
      <c r="C27" s="303"/>
      <c r="D27" s="303"/>
      <c r="E27" s="303"/>
      <c r="F27" s="303"/>
      <c r="G27" s="303"/>
      <c r="H27" s="306"/>
      <c r="I27" s="303"/>
      <c r="J27" s="303"/>
    </row>
    <row r="28" spans="1:10">
      <c r="A28" s="304"/>
      <c r="B28" s="305"/>
      <c r="C28" s="303"/>
      <c r="D28" s="303"/>
      <c r="E28" s="303"/>
      <c r="F28" s="303"/>
      <c r="G28" s="303"/>
      <c r="H28" s="306"/>
      <c r="I28" s="303"/>
      <c r="J28" s="303"/>
    </row>
    <row r="29" spans="1:10">
      <c r="A29" s="304"/>
      <c r="B29" s="305"/>
      <c r="C29" s="303"/>
      <c r="D29" s="303"/>
      <c r="E29" s="303"/>
      <c r="F29" s="303"/>
      <c r="G29" s="303"/>
      <c r="H29" s="303"/>
      <c r="I29" s="303"/>
      <c r="J29" s="303"/>
    </row>
    <row r="30" spans="1:10">
      <c r="A30" s="304"/>
      <c r="B30" s="305"/>
      <c r="C30" s="303"/>
      <c r="D30" s="303"/>
      <c r="E30" s="303"/>
      <c r="F30" s="303"/>
      <c r="G30" s="303"/>
      <c r="H30" s="303"/>
      <c r="I30" s="303"/>
      <c r="J30" s="303"/>
    </row>
    <row r="31" spans="1:10">
      <c r="A31" s="304"/>
      <c r="B31" s="305"/>
      <c r="C31" s="303"/>
      <c r="D31" s="303"/>
      <c r="E31" s="303"/>
      <c r="F31" s="303"/>
      <c r="G31" s="303"/>
      <c r="H31" s="303"/>
      <c r="I31" s="303"/>
      <c r="J31" s="303"/>
    </row>
    <row r="32" spans="1:10">
      <c r="A32" s="304"/>
      <c r="B32" s="305"/>
      <c r="C32" s="303"/>
      <c r="D32" s="303"/>
      <c r="E32" s="303"/>
      <c r="F32" s="303"/>
      <c r="G32" s="303"/>
      <c r="H32" s="303"/>
      <c r="I32" s="303"/>
      <c r="J32" s="303"/>
    </row>
    <row r="33" spans="1:10">
      <c r="A33" s="304"/>
      <c r="B33" s="305"/>
      <c r="C33" s="303"/>
      <c r="D33" s="303"/>
      <c r="E33" s="303"/>
      <c r="F33" s="303"/>
      <c r="G33" s="303"/>
      <c r="H33" s="303"/>
      <c r="I33" s="303"/>
      <c r="J33" s="303"/>
    </row>
    <row r="34" spans="1:10">
      <c r="A34" s="304"/>
      <c r="B34" s="305"/>
      <c r="C34" s="303"/>
      <c r="D34" s="303"/>
      <c r="E34" s="303"/>
      <c r="F34" s="303"/>
      <c r="G34" s="303"/>
      <c r="H34" s="303"/>
      <c r="I34" s="303"/>
      <c r="J34" s="303"/>
    </row>
    <row r="35" spans="1:10">
      <c r="A35" s="304"/>
      <c r="B35" s="305"/>
      <c r="C35" s="303"/>
      <c r="D35" s="303"/>
      <c r="E35" s="303"/>
      <c r="F35" s="303"/>
      <c r="G35" s="303"/>
      <c r="H35" s="303"/>
      <c r="I35" s="303"/>
      <c r="J35" s="303"/>
    </row>
    <row r="36" spans="1:10">
      <c r="A36" s="308"/>
      <c r="B36" s="309"/>
      <c r="C36" s="310"/>
      <c r="D36" s="310"/>
      <c r="E36" s="310"/>
      <c r="F36" s="310"/>
      <c r="G36" s="310"/>
      <c r="H36" s="310"/>
      <c r="I36" s="310"/>
      <c r="J36" s="310"/>
    </row>
    <row r="37" spans="1:10">
      <c r="A37" s="308"/>
      <c r="B37" s="309"/>
      <c r="C37" s="310"/>
      <c r="D37" s="310"/>
      <c r="E37" s="310"/>
      <c r="F37" s="310"/>
      <c r="G37" s="310"/>
      <c r="H37" s="310"/>
      <c r="I37" s="310"/>
      <c r="J37" s="310"/>
    </row>
    <row r="38" spans="1:10">
      <c r="A38" s="308"/>
      <c r="B38" s="309"/>
      <c r="C38" s="310"/>
      <c r="D38" s="310"/>
      <c r="E38" s="310"/>
      <c r="F38" s="310"/>
      <c r="G38" s="310"/>
      <c r="H38" s="310"/>
      <c r="I38" s="310"/>
      <c r="J38" s="310"/>
    </row>
    <row r="39" spans="1:10">
      <c r="A39" s="308"/>
      <c r="B39" s="309"/>
      <c r="C39" s="310"/>
      <c r="D39" s="310"/>
      <c r="E39" s="310"/>
      <c r="F39" s="310"/>
      <c r="G39" s="310"/>
      <c r="H39" s="310"/>
      <c r="I39" s="310"/>
      <c r="J39" s="310"/>
    </row>
    <row r="40" spans="1:10">
      <c r="A40" s="308"/>
      <c r="B40" s="309"/>
      <c r="C40" s="310"/>
      <c r="D40" s="310"/>
      <c r="E40" s="310"/>
      <c r="F40" s="310"/>
      <c r="G40" s="310"/>
      <c r="H40" s="310"/>
      <c r="I40" s="310"/>
      <c r="J40" s="310"/>
    </row>
    <row r="41" spans="1:10">
      <c r="A41" s="308"/>
      <c r="B41" s="309"/>
      <c r="C41" s="310"/>
      <c r="D41" s="310"/>
      <c r="E41" s="310"/>
      <c r="F41" s="310"/>
      <c r="G41" s="310"/>
      <c r="H41" s="310"/>
      <c r="I41" s="310"/>
      <c r="J41" s="310"/>
    </row>
    <row r="42" spans="1:10">
      <c r="A42" s="308"/>
      <c r="B42" s="309"/>
      <c r="C42" s="310"/>
      <c r="D42" s="310"/>
      <c r="E42" s="310"/>
      <c r="F42" s="310"/>
      <c r="G42" s="310"/>
      <c r="H42" s="310"/>
      <c r="I42" s="310"/>
      <c r="J42" s="310"/>
    </row>
    <row r="43" spans="1:10">
      <c r="A43" s="308"/>
      <c r="B43" s="309"/>
      <c r="C43" s="310"/>
      <c r="D43" s="310"/>
      <c r="E43" s="310"/>
      <c r="F43" s="310"/>
      <c r="G43" s="310"/>
      <c r="H43" s="310"/>
      <c r="I43" s="310"/>
      <c r="J43" s="310"/>
    </row>
    <row r="44" spans="1:10">
      <c r="A44" s="308"/>
      <c r="B44" s="309"/>
      <c r="C44" s="310"/>
      <c r="D44" s="310"/>
      <c r="E44" s="310"/>
      <c r="F44" s="310"/>
      <c r="G44" s="310"/>
      <c r="H44" s="310"/>
      <c r="I44" s="310"/>
      <c r="J44" s="310"/>
    </row>
    <row r="45" spans="1:10">
      <c r="A45" s="308"/>
      <c r="B45" s="309"/>
      <c r="C45" s="310"/>
      <c r="D45" s="310"/>
      <c r="E45" s="310"/>
      <c r="F45" s="310"/>
      <c r="G45" s="310"/>
      <c r="H45" s="310"/>
      <c r="I45" s="310"/>
      <c r="J45" s="310"/>
    </row>
    <row r="46" spans="1:10">
      <c r="A46" s="308"/>
      <c r="B46" s="309"/>
      <c r="C46" s="310"/>
      <c r="D46" s="310"/>
      <c r="E46" s="310"/>
      <c r="F46" s="310"/>
      <c r="G46" s="310"/>
      <c r="H46" s="310"/>
      <c r="I46" s="310"/>
      <c r="J46" s="310"/>
    </row>
    <row r="47" spans="1:10">
      <c r="A47" s="308"/>
      <c r="B47" s="309"/>
      <c r="C47" s="310"/>
      <c r="D47" s="310"/>
      <c r="E47" s="310"/>
      <c r="F47" s="310"/>
      <c r="G47" s="310"/>
      <c r="H47" s="310"/>
      <c r="I47" s="310"/>
      <c r="J47" s="310"/>
    </row>
    <row r="48" spans="1:10">
      <c r="A48" s="308"/>
      <c r="B48" s="309"/>
      <c r="C48" s="310"/>
      <c r="D48" s="310"/>
      <c r="E48" s="310"/>
      <c r="F48" s="310"/>
      <c r="G48" s="310"/>
      <c r="H48" s="310"/>
      <c r="I48" s="310"/>
      <c r="J48" s="310"/>
    </row>
    <row r="49" spans="1:10">
      <c r="A49" s="308"/>
      <c r="B49" s="309"/>
      <c r="C49" s="310"/>
      <c r="D49" s="310"/>
      <c r="E49" s="310"/>
      <c r="F49" s="310"/>
      <c r="G49" s="310"/>
      <c r="H49" s="310"/>
      <c r="I49" s="310"/>
      <c r="J49" s="310"/>
    </row>
    <row r="50" spans="1:10">
      <c r="A50" s="308"/>
      <c r="B50" s="309"/>
      <c r="C50" s="310"/>
      <c r="D50" s="310"/>
      <c r="E50" s="310"/>
      <c r="F50" s="310"/>
      <c r="G50" s="310"/>
      <c r="H50" s="310"/>
      <c r="I50" s="310"/>
      <c r="J50" s="310"/>
    </row>
    <row r="51" spans="1:10">
      <c r="A51" s="308"/>
      <c r="B51" s="309"/>
      <c r="C51" s="310"/>
      <c r="D51" s="310"/>
      <c r="E51" s="310"/>
      <c r="F51" s="310"/>
      <c r="G51" s="310"/>
      <c r="H51" s="310"/>
      <c r="I51" s="310"/>
      <c r="J51" s="310"/>
    </row>
    <row r="52" spans="1:10">
      <c r="A52" s="308"/>
      <c r="B52" s="309"/>
      <c r="C52" s="310"/>
      <c r="D52" s="310"/>
      <c r="E52" s="310"/>
      <c r="F52" s="310"/>
      <c r="G52" s="310"/>
      <c r="H52" s="310"/>
      <c r="I52" s="310"/>
      <c r="J52" s="310"/>
    </row>
    <row r="53" spans="1:10">
      <c r="A53" s="308"/>
      <c r="B53" s="309"/>
      <c r="C53" s="310"/>
      <c r="D53" s="310"/>
      <c r="E53" s="310"/>
      <c r="F53" s="310"/>
      <c r="G53" s="310"/>
      <c r="H53" s="310"/>
      <c r="I53" s="310"/>
      <c r="J53" s="310"/>
    </row>
    <row r="54" spans="1:10">
      <c r="A54" s="308"/>
      <c r="B54" s="309"/>
      <c r="C54" s="310"/>
      <c r="D54" s="310"/>
      <c r="E54" s="310"/>
      <c r="F54" s="310"/>
      <c r="G54" s="310"/>
      <c r="H54" s="310"/>
      <c r="I54" s="310"/>
      <c r="J54" s="310"/>
    </row>
    <row r="55" spans="1:10">
      <c r="A55" s="308"/>
      <c r="B55" s="309"/>
      <c r="C55" s="310"/>
      <c r="D55" s="310"/>
      <c r="E55" s="310"/>
      <c r="F55" s="310"/>
      <c r="G55" s="310"/>
      <c r="H55" s="310"/>
      <c r="I55" s="310"/>
      <c r="J55" s="310"/>
    </row>
    <row r="56" spans="1:10">
      <c r="A56" s="308"/>
      <c r="B56" s="309"/>
      <c r="C56" s="310"/>
      <c r="D56" s="310"/>
      <c r="E56" s="310"/>
      <c r="F56" s="310"/>
      <c r="G56" s="310"/>
      <c r="H56" s="310"/>
      <c r="I56" s="310"/>
      <c r="J56" s="310"/>
    </row>
    <row r="57" spans="1:10">
      <c r="A57" s="308"/>
      <c r="B57" s="309"/>
      <c r="C57" s="310"/>
      <c r="D57" s="310"/>
      <c r="E57" s="310"/>
      <c r="F57" s="310"/>
      <c r="G57" s="310"/>
      <c r="H57" s="310"/>
      <c r="I57" s="310"/>
      <c r="J57" s="310"/>
    </row>
    <row r="58" spans="1:10">
      <c r="A58" s="308"/>
      <c r="B58" s="309"/>
      <c r="C58" s="310"/>
      <c r="D58" s="310"/>
      <c r="E58" s="310"/>
      <c r="F58" s="310"/>
      <c r="G58" s="310"/>
      <c r="H58" s="310"/>
      <c r="I58" s="310"/>
      <c r="J58" s="310"/>
    </row>
    <row r="59" spans="1:10">
      <c r="A59" s="308"/>
      <c r="B59" s="309"/>
      <c r="C59" s="310"/>
      <c r="D59" s="310"/>
      <c r="E59" s="310"/>
      <c r="F59" s="310"/>
      <c r="G59" s="310"/>
      <c r="H59" s="310"/>
      <c r="I59" s="310"/>
      <c r="J59" s="310"/>
    </row>
    <row r="60" spans="1:10">
      <c r="A60" s="308"/>
      <c r="B60" s="309"/>
      <c r="C60" s="310"/>
      <c r="D60" s="310"/>
      <c r="E60" s="310"/>
      <c r="F60" s="310"/>
      <c r="G60" s="310"/>
      <c r="H60" s="310"/>
      <c r="I60" s="310"/>
      <c r="J60" s="310"/>
    </row>
    <row r="61" spans="1:10">
      <c r="A61" s="308"/>
      <c r="B61" s="309"/>
      <c r="C61" s="310"/>
      <c r="D61" s="310"/>
      <c r="E61" s="310"/>
      <c r="F61" s="310"/>
      <c r="G61" s="310"/>
      <c r="H61" s="310"/>
      <c r="I61" s="310"/>
      <c r="J61" s="310"/>
    </row>
    <row r="62" spans="1:10">
      <c r="A62" s="308"/>
      <c r="B62" s="309"/>
      <c r="C62" s="310"/>
      <c r="D62" s="310"/>
      <c r="E62" s="310"/>
      <c r="F62" s="310"/>
      <c r="G62" s="310"/>
      <c r="H62" s="310"/>
      <c r="I62" s="310"/>
      <c r="J62" s="310"/>
    </row>
    <row r="63" spans="1:10">
      <c r="A63" s="308"/>
      <c r="B63" s="309"/>
      <c r="C63" s="310"/>
      <c r="D63" s="310"/>
      <c r="E63" s="310"/>
      <c r="F63" s="310"/>
      <c r="G63" s="310"/>
      <c r="H63" s="310"/>
      <c r="I63" s="310"/>
      <c r="J63" s="310"/>
    </row>
    <row r="64" spans="1:10">
      <c r="A64" s="308"/>
      <c r="B64" s="309"/>
      <c r="C64" s="310"/>
      <c r="D64" s="310"/>
      <c r="E64" s="310"/>
      <c r="F64" s="310"/>
      <c r="G64" s="310"/>
      <c r="H64" s="310"/>
      <c r="I64" s="310"/>
      <c r="J64" s="310"/>
    </row>
    <row r="65" spans="1:10">
      <c r="A65" s="308"/>
      <c r="B65" s="309"/>
      <c r="C65" s="310"/>
      <c r="D65" s="310"/>
      <c r="E65" s="310"/>
      <c r="F65" s="310"/>
      <c r="G65" s="310"/>
      <c r="H65" s="310"/>
      <c r="I65" s="310"/>
      <c r="J65" s="310"/>
    </row>
    <row r="66" spans="1:10">
      <c r="A66" s="308"/>
      <c r="B66" s="309"/>
      <c r="C66" s="310"/>
      <c r="D66" s="310"/>
      <c r="E66" s="310"/>
      <c r="F66" s="310"/>
      <c r="G66" s="310"/>
      <c r="H66" s="310"/>
      <c r="I66" s="310"/>
      <c r="J66" s="310"/>
    </row>
    <row r="67" spans="1:10">
      <c r="A67" s="308"/>
      <c r="B67" s="309"/>
      <c r="C67" s="310"/>
      <c r="D67" s="310"/>
      <c r="E67" s="310"/>
      <c r="F67" s="310"/>
      <c r="G67" s="310"/>
      <c r="H67" s="310"/>
      <c r="I67" s="310"/>
      <c r="J67" s="310"/>
    </row>
    <row r="68" spans="1:10">
      <c r="A68" s="308"/>
      <c r="B68" s="309"/>
      <c r="C68" s="310"/>
      <c r="D68" s="310"/>
      <c r="E68" s="310"/>
      <c r="F68" s="310"/>
      <c r="G68" s="310"/>
      <c r="H68" s="310"/>
      <c r="I68" s="310"/>
      <c r="J68" s="310"/>
    </row>
    <row r="69" spans="1:10">
      <c r="A69" s="308"/>
      <c r="B69" s="309"/>
      <c r="C69" s="310"/>
      <c r="D69" s="310"/>
      <c r="E69" s="310"/>
      <c r="F69" s="310"/>
      <c r="G69" s="310"/>
      <c r="H69" s="310"/>
      <c r="I69" s="310"/>
      <c r="J69" s="310"/>
    </row>
    <row r="70" spans="1:10">
      <c r="A70" s="308"/>
      <c r="B70" s="309"/>
      <c r="C70" s="310"/>
      <c r="D70" s="310"/>
      <c r="E70" s="310"/>
      <c r="F70" s="310"/>
      <c r="G70" s="310"/>
      <c r="H70" s="310"/>
      <c r="I70" s="310"/>
      <c r="J70" s="310"/>
    </row>
    <row r="71" spans="1:10">
      <c r="A71" s="308"/>
      <c r="B71" s="309"/>
      <c r="C71" s="310"/>
      <c r="D71" s="310"/>
      <c r="E71" s="310"/>
      <c r="F71" s="310"/>
      <c r="G71" s="310"/>
      <c r="H71" s="310"/>
      <c r="I71" s="310"/>
      <c r="J71" s="310"/>
    </row>
    <row r="72" spans="1:10">
      <c r="A72" s="308"/>
      <c r="B72" s="309"/>
      <c r="C72" s="310"/>
      <c r="D72" s="310"/>
      <c r="E72" s="310"/>
      <c r="F72" s="310"/>
      <c r="G72" s="310"/>
      <c r="H72" s="310"/>
      <c r="I72" s="310"/>
      <c r="J72" s="310"/>
    </row>
    <row r="73" spans="1:10">
      <c r="A73" s="308"/>
      <c r="B73" s="309"/>
      <c r="C73" s="310"/>
      <c r="D73" s="310"/>
      <c r="E73" s="310"/>
      <c r="F73" s="310"/>
      <c r="G73" s="310"/>
      <c r="H73" s="310"/>
      <c r="I73" s="310"/>
      <c r="J73" s="310"/>
    </row>
    <row r="74" spans="1:10">
      <c r="A74" s="308"/>
      <c r="B74" s="309"/>
      <c r="C74" s="310"/>
      <c r="D74" s="310"/>
      <c r="E74" s="310"/>
      <c r="F74" s="310"/>
      <c r="G74" s="310"/>
      <c r="H74" s="310"/>
      <c r="I74" s="310"/>
      <c r="J74" s="310"/>
    </row>
    <row r="75" spans="1:10">
      <c r="A75" s="308"/>
      <c r="B75" s="309"/>
      <c r="C75" s="310"/>
      <c r="D75" s="310"/>
      <c r="E75" s="310"/>
      <c r="F75" s="310"/>
      <c r="G75" s="310"/>
      <c r="H75" s="310"/>
      <c r="I75" s="310"/>
      <c r="J75" s="310"/>
    </row>
    <row r="76" spans="1:10">
      <c r="A76" s="308"/>
      <c r="B76" s="309"/>
      <c r="C76" s="310"/>
      <c r="D76" s="310"/>
      <c r="E76" s="310"/>
      <c r="F76" s="310"/>
      <c r="G76" s="310"/>
      <c r="H76" s="310"/>
      <c r="I76" s="310"/>
      <c r="J76" s="310"/>
    </row>
    <row r="77" spans="1:10">
      <c r="A77" s="308"/>
      <c r="B77" s="309"/>
      <c r="C77" s="310"/>
      <c r="D77" s="310"/>
      <c r="E77" s="310"/>
      <c r="F77" s="310"/>
      <c r="G77" s="310"/>
      <c r="H77" s="310"/>
      <c r="I77" s="310"/>
      <c r="J77" s="310"/>
    </row>
    <row r="78" spans="1:10">
      <c r="A78" s="308"/>
      <c r="B78" s="309"/>
      <c r="C78" s="310"/>
      <c r="D78" s="310"/>
      <c r="E78" s="310"/>
      <c r="F78" s="310"/>
      <c r="G78" s="310"/>
      <c r="H78" s="310"/>
      <c r="I78" s="310"/>
      <c r="J78" s="310"/>
    </row>
    <row r="79" spans="1:10">
      <c r="A79" s="308"/>
      <c r="B79" s="309"/>
      <c r="C79" s="310"/>
      <c r="D79" s="310"/>
      <c r="E79" s="310"/>
      <c r="F79" s="310"/>
      <c r="G79" s="310"/>
      <c r="H79" s="310"/>
      <c r="I79" s="310"/>
      <c r="J79" s="310"/>
    </row>
    <row r="80" spans="1:10">
      <c r="A80" s="308"/>
      <c r="B80" s="309"/>
      <c r="C80" s="310"/>
      <c r="D80" s="310"/>
      <c r="E80" s="310"/>
      <c r="F80" s="310"/>
      <c r="G80" s="310"/>
      <c r="H80" s="310"/>
      <c r="I80" s="310"/>
      <c r="J80" s="310"/>
    </row>
    <row r="81" spans="1:10">
      <c r="A81" s="308"/>
      <c r="B81" s="309"/>
      <c r="C81" s="310"/>
      <c r="D81" s="310"/>
      <c r="E81" s="310"/>
      <c r="F81" s="310"/>
      <c r="G81" s="310"/>
      <c r="H81" s="310"/>
      <c r="I81" s="310"/>
      <c r="J81" s="310"/>
    </row>
    <row r="82" spans="1:10">
      <c r="A82" s="308"/>
      <c r="B82" s="309"/>
      <c r="C82" s="310"/>
      <c r="D82" s="310"/>
      <c r="E82" s="310"/>
      <c r="F82" s="310"/>
      <c r="G82" s="310"/>
      <c r="H82" s="310"/>
      <c r="I82" s="310"/>
      <c r="J82" s="310"/>
    </row>
    <row r="83" spans="1:10">
      <c r="A83" s="308"/>
      <c r="B83" s="309"/>
      <c r="C83" s="310"/>
      <c r="D83" s="310"/>
      <c r="E83" s="310"/>
      <c r="F83" s="310"/>
      <c r="G83" s="310"/>
      <c r="H83" s="310"/>
      <c r="I83" s="310"/>
      <c r="J83" s="310"/>
    </row>
    <row r="84" spans="1:10">
      <c r="A84" s="308"/>
      <c r="B84" s="309"/>
      <c r="C84" s="310"/>
      <c r="D84" s="310"/>
      <c r="E84" s="310"/>
      <c r="F84" s="310"/>
      <c r="G84" s="310"/>
      <c r="H84" s="310"/>
      <c r="I84" s="310"/>
      <c r="J84" s="310"/>
    </row>
    <row r="85" spans="1:10">
      <c r="A85" s="308"/>
      <c r="B85" s="309"/>
      <c r="C85" s="310"/>
      <c r="D85" s="310"/>
      <c r="E85" s="310"/>
      <c r="F85" s="310"/>
      <c r="G85" s="310"/>
      <c r="H85" s="310"/>
      <c r="I85" s="310"/>
      <c r="J85" s="310"/>
    </row>
  </sheetData>
  <mergeCells count="16">
    <mergeCell ref="D13:E13"/>
    <mergeCell ref="A1:L1"/>
    <mergeCell ref="A2:D2"/>
    <mergeCell ref="A3:B4"/>
    <mergeCell ref="C3:D3"/>
    <mergeCell ref="E3:F3"/>
    <mergeCell ref="G3:H3"/>
    <mergeCell ref="I3:J3"/>
    <mergeCell ref="K3:L3"/>
    <mergeCell ref="A5:B5"/>
    <mergeCell ref="A11:B11"/>
    <mergeCell ref="A6:B6"/>
    <mergeCell ref="A7:B7"/>
    <mergeCell ref="A8:B8"/>
    <mergeCell ref="A9:B9"/>
    <mergeCell ref="A10:B10"/>
  </mergeCells>
  <printOptions horizontalCentered="1"/>
  <pageMargins left="0" right="0" top="0.19685039370078741" bottom="0.19685039370078741" header="0.23622047244094491" footer="0.15748031496062992"/>
  <pageSetup paperSize="9" scale="85" orientation="landscape" r:id="rId1"/>
  <headerFooter>
    <oddHeader xml:space="preserve">&amp;C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8:G34"/>
  <sheetViews>
    <sheetView rightToLeft="1" view="pageBreakPreview" zoomScale="85" zoomScaleSheetLayoutView="85" workbookViewId="0">
      <selection activeCell="I16" sqref="I16"/>
    </sheetView>
  </sheetViews>
  <sheetFormatPr defaultColWidth="10.28515625" defaultRowHeight="18"/>
  <cols>
    <col min="1" max="1" width="20.140625" style="85" bestFit="1" customWidth="1"/>
    <col min="2" max="2" width="31.28515625" style="86" bestFit="1" customWidth="1"/>
    <col min="3" max="4" width="11" style="85" customWidth="1"/>
    <col min="5" max="6" width="10.28515625" style="87"/>
    <col min="7" max="7" width="17.85546875" style="87" bestFit="1" customWidth="1"/>
    <col min="8" max="8" width="23.42578125" style="87" customWidth="1"/>
    <col min="9" max="16384" width="10.28515625" style="87"/>
  </cols>
  <sheetData>
    <row r="28" spans="1:7" ht="58.5" customHeight="1">
      <c r="D28" s="728">
        <v>14</v>
      </c>
    </row>
    <row r="29" spans="1:7">
      <c r="B29" s="86" t="s">
        <v>442</v>
      </c>
    </row>
    <row r="30" spans="1:7">
      <c r="A30" s="85" t="s">
        <v>443</v>
      </c>
      <c r="B30" s="86">
        <f>(('وضعيت پردا غ ق'!C11+'وضعيت پردا غ ق'!D11)/1000000)</f>
        <v>4484.5348439999998</v>
      </c>
    </row>
    <row r="31" spans="1:7">
      <c r="A31" s="85" t="s">
        <v>854</v>
      </c>
      <c r="B31" s="86">
        <f>('وضعيت پردا غ ق'!I11+'وضعيت پردا غ ق'!J11)/1000000</f>
        <v>3393.0654049999998</v>
      </c>
      <c r="G31" s="88"/>
    </row>
    <row r="32" spans="1:7">
      <c r="A32" s="85" t="s">
        <v>855</v>
      </c>
      <c r="B32" s="86">
        <f>('وضعيت پردا غ ق'!K11+'وضعيت پردا غ ق'!L11)/1000000</f>
        <v>1091.469439</v>
      </c>
      <c r="G32" s="88"/>
    </row>
    <row r="33" spans="7:7">
      <c r="G33" s="88"/>
    </row>
    <row r="34" spans="7:7">
      <c r="G34" s="88"/>
    </row>
  </sheetData>
  <printOptions horizontalCentered="1"/>
  <pageMargins left="0.31496062992125984" right="0.70866141732283472" top="0.74803149606299213" bottom="0.74803149606299213" header="0.31496062992125984" footer="0.31496062992125984"/>
  <pageSetup scale="95" orientation="landscape" r:id="rId1"/>
  <headerFooter alignWithMargins="0">
    <oddFooter xml:space="preserve">&amp;C&amp;"B Titr,Bold"&amp;12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71"/>
  <sheetViews>
    <sheetView rightToLeft="1" zoomScale="85" zoomScaleNormal="85" zoomScaleSheetLayoutView="70" workbookViewId="0">
      <pane ySplit="4" topLeftCell="A5" activePane="bottomLeft" state="frozen"/>
      <selection activeCell="I16" sqref="I16"/>
      <selection pane="bottomLeft" activeCell="E41" sqref="E41"/>
    </sheetView>
  </sheetViews>
  <sheetFormatPr defaultColWidth="9" defaultRowHeight="18.75"/>
  <cols>
    <col min="1" max="1" width="33.42578125" style="474" customWidth="1"/>
    <col min="2" max="2" width="41.42578125" style="447" bestFit="1" customWidth="1"/>
    <col min="3" max="3" width="8.42578125" style="473" customWidth="1"/>
    <col min="4" max="4" width="21" style="447" customWidth="1"/>
    <col min="5" max="5" width="16.85546875" style="472" bestFit="1" customWidth="1"/>
    <col min="6" max="6" width="14.7109375" style="447" customWidth="1"/>
    <col min="7" max="7" width="22" style="89" bestFit="1" customWidth="1"/>
    <col min="8" max="8" width="8.85546875" style="89" bestFit="1" customWidth="1"/>
    <col min="9" max="16384" width="9" style="89"/>
  </cols>
  <sheetData>
    <row r="1" spans="1:12" ht="53.25" customHeight="1">
      <c r="A1" s="833" t="s">
        <v>975</v>
      </c>
      <c r="B1" s="833"/>
      <c r="C1" s="833"/>
      <c r="D1" s="833"/>
      <c r="E1" s="833"/>
      <c r="F1" s="833"/>
    </row>
    <row r="2" spans="1:12" ht="28.5">
      <c r="A2" s="844" t="s">
        <v>857</v>
      </c>
      <c r="B2" s="844"/>
      <c r="C2" s="844"/>
      <c r="D2" s="844"/>
      <c r="E2" s="844"/>
      <c r="F2" s="844"/>
    </row>
    <row r="3" spans="1:12" s="124" customFormat="1" ht="21.75" customHeight="1">
      <c r="A3" s="834" t="s">
        <v>444</v>
      </c>
      <c r="B3" s="836" t="s">
        <v>445</v>
      </c>
      <c r="C3" s="838" t="s">
        <v>446</v>
      </c>
      <c r="D3" s="840" t="s">
        <v>447</v>
      </c>
      <c r="E3" s="842" t="s">
        <v>448</v>
      </c>
      <c r="F3" s="843"/>
    </row>
    <row r="4" spans="1:12" s="124" customFormat="1" ht="25.5">
      <c r="A4" s="835"/>
      <c r="B4" s="837"/>
      <c r="C4" s="839"/>
      <c r="D4" s="841"/>
      <c r="E4" s="478" t="s">
        <v>449</v>
      </c>
      <c r="F4" s="478" t="s">
        <v>111</v>
      </c>
    </row>
    <row r="5" spans="1:12" s="654" customFormat="1" ht="39" customHeight="1">
      <c r="A5" s="477" t="s">
        <v>596</v>
      </c>
      <c r="B5" s="477" t="s">
        <v>593</v>
      </c>
      <c r="C5" s="476">
        <v>1397</v>
      </c>
      <c r="D5" s="475" t="s">
        <v>450</v>
      </c>
      <c r="E5" s="475">
        <v>2500000</v>
      </c>
      <c r="F5" s="475"/>
    </row>
    <row r="6" spans="1:12" s="655" customFormat="1" ht="39" customHeight="1">
      <c r="A6" s="481" t="s">
        <v>452</v>
      </c>
      <c r="B6" s="481"/>
      <c r="C6" s="481"/>
      <c r="D6" s="481"/>
      <c r="E6" s="482">
        <f>SUM(E5:E5)</f>
        <v>2500000</v>
      </c>
      <c r="F6" s="482">
        <f>SUM(F5:F5)</f>
        <v>0</v>
      </c>
      <c r="G6" s="654"/>
    </row>
    <row r="7" spans="1:12" s="656" customFormat="1" ht="39" customHeight="1">
      <c r="A7" s="477" t="s">
        <v>453</v>
      </c>
      <c r="B7" s="477" t="s">
        <v>451</v>
      </c>
      <c r="C7" s="477">
        <v>1392</v>
      </c>
      <c r="D7" s="475" t="s">
        <v>450</v>
      </c>
      <c r="E7" s="477"/>
      <c r="F7" s="475">
        <v>3000000</v>
      </c>
      <c r="G7" s="654"/>
    </row>
    <row r="8" spans="1:12" s="654" customFormat="1" ht="39" customHeight="1">
      <c r="A8" s="477" t="s">
        <v>571</v>
      </c>
      <c r="B8" s="477" t="s">
        <v>572</v>
      </c>
      <c r="C8" s="476">
        <v>1396</v>
      </c>
      <c r="D8" s="477" t="s">
        <v>569</v>
      </c>
      <c r="E8" s="475"/>
      <c r="F8" s="475">
        <v>14850000</v>
      </c>
    </row>
    <row r="9" spans="1:12" s="655" customFormat="1" ht="39" customHeight="1">
      <c r="A9" s="475" t="s">
        <v>453</v>
      </c>
      <c r="B9" s="475" t="s">
        <v>451</v>
      </c>
      <c r="C9" s="476">
        <v>1391</v>
      </c>
      <c r="D9" s="477" t="s">
        <v>569</v>
      </c>
      <c r="E9" s="475"/>
      <c r="F9" s="475">
        <v>5518037</v>
      </c>
    </row>
    <row r="10" spans="1:12" s="656" customFormat="1" ht="39" customHeight="1">
      <c r="A10" s="475" t="s">
        <v>454</v>
      </c>
      <c r="B10" s="475" t="s">
        <v>451</v>
      </c>
      <c r="C10" s="476">
        <v>1389</v>
      </c>
      <c r="D10" s="475" t="s">
        <v>450</v>
      </c>
      <c r="E10" s="475"/>
      <c r="F10" s="475">
        <v>1845064</v>
      </c>
      <c r="G10" s="654"/>
    </row>
    <row r="11" spans="1:12" s="656" customFormat="1" ht="39" customHeight="1">
      <c r="A11" s="475" t="s">
        <v>455</v>
      </c>
      <c r="B11" s="475" t="s">
        <v>451</v>
      </c>
      <c r="C11" s="476">
        <v>1390</v>
      </c>
      <c r="D11" s="475" t="s">
        <v>450</v>
      </c>
      <c r="E11" s="475"/>
      <c r="F11" s="475">
        <v>9000000</v>
      </c>
      <c r="G11" s="654"/>
    </row>
    <row r="12" spans="1:12" s="654" customFormat="1" ht="39" customHeight="1">
      <c r="A12" s="477" t="s">
        <v>560</v>
      </c>
      <c r="B12" s="477" t="s">
        <v>593</v>
      </c>
      <c r="C12" s="476">
        <v>1397</v>
      </c>
      <c r="D12" s="475" t="s">
        <v>450</v>
      </c>
      <c r="E12" s="475"/>
      <c r="F12" s="475">
        <v>13500000</v>
      </c>
    </row>
    <row r="13" spans="1:12" s="654" customFormat="1" ht="39" customHeight="1">
      <c r="A13" s="477" t="s">
        <v>595</v>
      </c>
      <c r="B13" s="477" t="s">
        <v>593</v>
      </c>
      <c r="C13" s="476">
        <v>1397</v>
      </c>
      <c r="D13" s="475" t="s">
        <v>450</v>
      </c>
      <c r="E13" s="475"/>
      <c r="F13" s="475">
        <v>50000000</v>
      </c>
    </row>
    <row r="14" spans="1:12" s="655" customFormat="1" ht="39" customHeight="1">
      <c r="A14" s="481" t="s">
        <v>456</v>
      </c>
      <c r="B14" s="481"/>
      <c r="C14" s="481"/>
      <c r="D14" s="481"/>
      <c r="E14" s="482"/>
      <c r="F14" s="482">
        <f>SUM(F7:F13)</f>
        <v>97713101</v>
      </c>
      <c r="G14" s="654"/>
    </row>
    <row r="15" spans="1:12" s="657" customFormat="1" ht="39" customHeight="1">
      <c r="A15" s="477" t="s">
        <v>461</v>
      </c>
      <c r="B15" s="477" t="s">
        <v>474</v>
      </c>
      <c r="C15" s="476">
        <v>1387</v>
      </c>
      <c r="D15" s="477" t="s">
        <v>580</v>
      </c>
      <c r="E15" s="475">
        <v>180631824</v>
      </c>
      <c r="F15" s="477"/>
      <c r="I15" s="658"/>
      <c r="J15" s="658"/>
      <c r="K15" s="658"/>
      <c r="L15" s="658"/>
    </row>
    <row r="16" spans="1:12" s="655" customFormat="1" ht="39" customHeight="1">
      <c r="A16" s="481" t="s">
        <v>457</v>
      </c>
      <c r="B16" s="481"/>
      <c r="C16" s="481"/>
      <c r="D16" s="481"/>
      <c r="E16" s="482">
        <f>SUM(E15:E15)</f>
        <v>180631824</v>
      </c>
      <c r="F16" s="482">
        <f>SUM(F15:F15)</f>
        <v>0</v>
      </c>
      <c r="G16" s="654"/>
    </row>
    <row r="17" spans="1:7" s="655" customFormat="1" ht="39" customHeight="1">
      <c r="A17" s="481" t="s">
        <v>458</v>
      </c>
      <c r="B17" s="480"/>
      <c r="C17" s="659"/>
      <c r="D17" s="480"/>
      <c r="E17" s="482">
        <f>+E16+E14+E6</f>
        <v>183131824</v>
      </c>
      <c r="F17" s="482">
        <f>+F16+F14+F6</f>
        <v>97713101</v>
      </c>
    </row>
    <row r="18" spans="1:7" s="655" customFormat="1" ht="39" customHeight="1">
      <c r="A18" s="475" t="s">
        <v>461</v>
      </c>
      <c r="B18" s="475" t="s">
        <v>462</v>
      </c>
      <c r="C18" s="477">
        <v>1389</v>
      </c>
      <c r="D18" s="475" t="s">
        <v>460</v>
      </c>
      <c r="E18" s="475">
        <v>279415035</v>
      </c>
      <c r="F18" s="475"/>
    </row>
    <row r="19" spans="1:7" s="654" customFormat="1" ht="39" customHeight="1">
      <c r="A19" s="477" t="s">
        <v>574</v>
      </c>
      <c r="B19" s="477" t="s">
        <v>568</v>
      </c>
      <c r="C19" s="476">
        <v>1396</v>
      </c>
      <c r="D19" s="477" t="s">
        <v>573</v>
      </c>
      <c r="E19" s="475">
        <v>70000000</v>
      </c>
      <c r="F19" s="477"/>
    </row>
    <row r="20" spans="1:7" s="655" customFormat="1" ht="39" customHeight="1">
      <c r="A20" s="477" t="s">
        <v>574</v>
      </c>
      <c r="B20" s="477" t="s">
        <v>572</v>
      </c>
      <c r="C20" s="476">
        <v>1396</v>
      </c>
      <c r="D20" s="477" t="s">
        <v>573</v>
      </c>
      <c r="E20" s="475">
        <v>60687500</v>
      </c>
      <c r="F20" s="477"/>
    </row>
    <row r="21" spans="1:7" s="660" customFormat="1" ht="39" customHeight="1">
      <c r="A21" s="477" t="s">
        <v>597</v>
      </c>
      <c r="B21" s="477" t="s">
        <v>568</v>
      </c>
      <c r="C21" s="476">
        <v>1397</v>
      </c>
      <c r="D21" s="475" t="s">
        <v>450</v>
      </c>
      <c r="E21" s="475">
        <v>10000000</v>
      </c>
      <c r="F21" s="475"/>
    </row>
    <row r="22" spans="1:7" s="655" customFormat="1" ht="39" customHeight="1">
      <c r="A22" s="481" t="s">
        <v>463</v>
      </c>
      <c r="B22" s="481"/>
      <c r="C22" s="481"/>
      <c r="D22" s="481"/>
      <c r="E22" s="482">
        <f>SUM(E18:E21)</f>
        <v>420102535</v>
      </c>
      <c r="F22" s="482">
        <f>SUM(F18:F21)</f>
        <v>0</v>
      </c>
      <c r="G22" s="654"/>
    </row>
    <row r="23" spans="1:7" s="656" customFormat="1" ht="39" customHeight="1">
      <c r="A23" s="475" t="s">
        <v>465</v>
      </c>
      <c r="B23" s="475" t="str">
        <f>[2]سنواتی!B118</f>
        <v>توسعه كارآفريني</v>
      </c>
      <c r="C23" s="476">
        <v>1389</v>
      </c>
      <c r="D23" s="475" t="str">
        <f>[2]سنواتی!D118</f>
        <v>اختصاصي-مصوب ملي</v>
      </c>
      <c r="E23" s="475"/>
      <c r="F23" s="475">
        <f>[2]سنواتی!F118</f>
        <v>35000000</v>
      </c>
      <c r="G23" s="655"/>
    </row>
    <row r="24" spans="1:7" s="656" customFormat="1" ht="39" customHeight="1">
      <c r="A24" s="475" t="s">
        <v>466</v>
      </c>
      <c r="B24" s="475" t="str">
        <f>[2]سنواتی!B119</f>
        <v>توسعه كارآفريني</v>
      </c>
      <c r="C24" s="476">
        <v>1389</v>
      </c>
      <c r="D24" s="475" t="str">
        <f>[2]سنواتی!D119</f>
        <v>اختصاصي-مصوب ملي</v>
      </c>
      <c r="E24" s="475"/>
      <c r="F24" s="475">
        <f>[2]سنواتی!F119</f>
        <v>10000000</v>
      </c>
      <c r="G24" s="655"/>
    </row>
    <row r="25" spans="1:7" s="656" customFormat="1" ht="39" customHeight="1">
      <c r="A25" s="475" t="s">
        <v>464</v>
      </c>
      <c r="B25" s="475" t="s">
        <v>459</v>
      </c>
      <c r="C25" s="477">
        <v>1394</v>
      </c>
      <c r="D25" s="475" t="s">
        <v>460</v>
      </c>
      <c r="E25" s="661"/>
      <c r="F25" s="475">
        <v>20000000</v>
      </c>
      <c r="G25" s="655"/>
    </row>
    <row r="26" spans="1:7" s="658" customFormat="1" ht="39" customHeight="1">
      <c r="A26" s="475" t="s">
        <v>453</v>
      </c>
      <c r="B26" s="475" t="s">
        <v>139</v>
      </c>
      <c r="C26" s="477">
        <v>1395</v>
      </c>
      <c r="D26" s="475" t="s">
        <v>549</v>
      </c>
      <c r="E26" s="661"/>
      <c r="F26" s="475">
        <v>20000000</v>
      </c>
    </row>
    <row r="27" spans="1:7" s="657" customFormat="1" ht="39" customHeight="1">
      <c r="A27" s="477" t="s">
        <v>574</v>
      </c>
      <c r="B27" s="477" t="s">
        <v>568</v>
      </c>
      <c r="C27" s="476">
        <v>1396</v>
      </c>
      <c r="D27" s="477" t="s">
        <v>573</v>
      </c>
      <c r="E27" s="475"/>
      <c r="F27" s="475">
        <v>59500000</v>
      </c>
    </row>
    <row r="28" spans="1:7" s="658" customFormat="1" ht="39" customHeight="1">
      <c r="A28" s="477" t="s">
        <v>576</v>
      </c>
      <c r="B28" s="477" t="s">
        <v>568</v>
      </c>
      <c r="C28" s="476">
        <v>1396</v>
      </c>
      <c r="D28" s="477" t="s">
        <v>573</v>
      </c>
      <c r="E28" s="475"/>
      <c r="F28" s="475">
        <v>951150</v>
      </c>
    </row>
    <row r="29" spans="1:7" s="657" customFormat="1" ht="39" customHeight="1">
      <c r="A29" s="477" t="s">
        <v>577</v>
      </c>
      <c r="B29" s="477" t="s">
        <v>123</v>
      </c>
      <c r="C29" s="476">
        <v>1396</v>
      </c>
      <c r="D29" s="477" t="s">
        <v>573</v>
      </c>
      <c r="E29" s="475"/>
      <c r="F29" s="475">
        <v>33961930</v>
      </c>
    </row>
    <row r="30" spans="1:7" s="657" customFormat="1" ht="39" customHeight="1">
      <c r="A30" s="477" t="s">
        <v>598</v>
      </c>
      <c r="B30" s="477" t="s">
        <v>568</v>
      </c>
      <c r="C30" s="476">
        <v>1397</v>
      </c>
      <c r="D30" s="477" t="s">
        <v>450</v>
      </c>
      <c r="E30" s="475"/>
      <c r="F30" s="475">
        <v>29760000</v>
      </c>
    </row>
    <row r="31" spans="1:7" s="657" customFormat="1" ht="39" customHeight="1">
      <c r="A31" s="477" t="s">
        <v>599</v>
      </c>
      <c r="B31" s="477" t="s">
        <v>568</v>
      </c>
      <c r="C31" s="476">
        <v>1397</v>
      </c>
      <c r="D31" s="477" t="s">
        <v>450</v>
      </c>
      <c r="E31" s="475"/>
      <c r="F31" s="475">
        <v>2480000</v>
      </c>
    </row>
    <row r="32" spans="1:7" s="657" customFormat="1" ht="39" customHeight="1">
      <c r="A32" s="477" t="s">
        <v>600</v>
      </c>
      <c r="B32" s="477" t="s">
        <v>568</v>
      </c>
      <c r="C32" s="476">
        <v>1397</v>
      </c>
      <c r="D32" s="477" t="s">
        <v>450</v>
      </c>
      <c r="E32" s="475"/>
      <c r="F32" s="475">
        <v>71232000</v>
      </c>
    </row>
    <row r="33" spans="1:12" s="655" customFormat="1" ht="39" customHeight="1">
      <c r="A33" s="481" t="s">
        <v>467</v>
      </c>
      <c r="B33" s="481"/>
      <c r="C33" s="481"/>
      <c r="D33" s="481"/>
      <c r="E33" s="482">
        <f>SUM(E23:E32)</f>
        <v>0</v>
      </c>
      <c r="F33" s="482">
        <f>SUM(F23:F32)</f>
        <v>282885080</v>
      </c>
      <c r="G33" s="654"/>
    </row>
    <row r="34" spans="1:12" s="658" customFormat="1" ht="39" customHeight="1">
      <c r="A34" s="481" t="s">
        <v>468</v>
      </c>
      <c r="B34" s="480"/>
      <c r="C34" s="659"/>
      <c r="D34" s="480"/>
      <c r="E34" s="482">
        <f>E22+E33</f>
        <v>420102535</v>
      </c>
      <c r="F34" s="482">
        <f>F22+F33</f>
        <v>282885080</v>
      </c>
    </row>
    <row r="35" spans="1:12" s="658" customFormat="1" ht="39" customHeight="1">
      <c r="A35" s="475" t="s">
        <v>453</v>
      </c>
      <c r="B35" s="475" t="s">
        <v>469</v>
      </c>
      <c r="C35" s="476" t="s">
        <v>470</v>
      </c>
      <c r="D35" s="475" t="s">
        <v>471</v>
      </c>
      <c r="E35" s="475"/>
      <c r="F35" s="475">
        <v>481963</v>
      </c>
    </row>
    <row r="36" spans="1:12" s="655" customFormat="1" ht="39" customHeight="1">
      <c r="A36" s="475" t="s">
        <v>550</v>
      </c>
      <c r="B36" s="475" t="s">
        <v>551</v>
      </c>
      <c r="C36" s="476">
        <v>1395</v>
      </c>
      <c r="D36" s="475" t="s">
        <v>551</v>
      </c>
      <c r="E36" s="475"/>
      <c r="F36" s="475">
        <v>100000000</v>
      </c>
    </row>
    <row r="37" spans="1:12" s="655" customFormat="1" ht="39" customHeight="1">
      <c r="A37" s="481" t="s">
        <v>472</v>
      </c>
      <c r="B37" s="481"/>
      <c r="C37" s="481"/>
      <c r="D37" s="481"/>
      <c r="E37" s="482">
        <f>SUBTOTAL(9,E35:E35)</f>
        <v>0</v>
      </c>
      <c r="F37" s="482">
        <f>SUBTOTAL(9,F35:F36)</f>
        <v>100481963</v>
      </c>
      <c r="G37" s="654"/>
    </row>
    <row r="38" spans="1:12" s="654" customFormat="1" ht="39" customHeight="1">
      <c r="A38" s="662" t="s">
        <v>473</v>
      </c>
      <c r="B38" s="475" t="s">
        <v>474</v>
      </c>
      <c r="C38" s="663">
        <v>1389</v>
      </c>
      <c r="D38" s="475" t="s">
        <v>475</v>
      </c>
      <c r="E38" s="475"/>
      <c r="F38" s="475">
        <v>7154936</v>
      </c>
    </row>
    <row r="39" spans="1:12" s="655" customFormat="1" ht="39" customHeight="1">
      <c r="A39" s="481" t="s">
        <v>476</v>
      </c>
      <c r="B39" s="481"/>
      <c r="C39" s="481"/>
      <c r="D39" s="481"/>
      <c r="E39" s="482"/>
      <c r="F39" s="482">
        <f>SUM(F38:F38)</f>
        <v>7154936</v>
      </c>
      <c r="G39" s="654"/>
    </row>
    <row r="40" spans="1:12" s="654" customFormat="1" ht="39" customHeight="1">
      <c r="A40" s="481" t="s">
        <v>477</v>
      </c>
      <c r="B40" s="483"/>
      <c r="C40" s="659"/>
      <c r="D40" s="483"/>
      <c r="E40" s="482">
        <f>+E37</f>
        <v>0</v>
      </c>
      <c r="F40" s="482">
        <f>F39+F37</f>
        <v>107636899</v>
      </c>
      <c r="G40" s="655"/>
      <c r="H40" s="655"/>
      <c r="I40" s="655"/>
      <c r="J40" s="655"/>
      <c r="K40" s="655"/>
      <c r="L40" s="655"/>
    </row>
    <row r="41" spans="1:12" s="657" customFormat="1" ht="39" customHeight="1" thickBot="1">
      <c r="A41" s="481" t="s">
        <v>478</v>
      </c>
      <c r="B41" s="480"/>
      <c r="C41" s="659"/>
      <c r="D41" s="480"/>
      <c r="E41" s="479">
        <f>E40+E34+E17</f>
        <v>603234359</v>
      </c>
      <c r="F41" s="479">
        <f>F40+F34+F17</f>
        <v>488235080</v>
      </c>
      <c r="G41" s="658"/>
      <c r="H41" s="658"/>
      <c r="I41" s="658"/>
      <c r="J41" s="658"/>
      <c r="K41" s="658"/>
      <c r="L41" s="658"/>
    </row>
    <row r="42" spans="1:12" s="119" customFormat="1" ht="21.75" thickTop="1">
      <c r="A42" s="474"/>
      <c r="B42" s="447"/>
      <c r="C42" s="473"/>
      <c r="D42" s="447"/>
      <c r="E42" s="472"/>
      <c r="F42" s="472"/>
    </row>
    <row r="43" spans="1:12" s="119" customFormat="1" ht="21">
      <c r="A43" s="474"/>
      <c r="B43" s="447"/>
      <c r="C43" s="473"/>
      <c r="D43" s="447"/>
      <c r="E43" s="472"/>
      <c r="F43" s="472"/>
    </row>
    <row r="44" spans="1:12" s="119" customFormat="1" ht="21">
      <c r="A44" s="474"/>
      <c r="B44" s="447"/>
      <c r="C44" s="473"/>
      <c r="D44" s="447"/>
      <c r="E44" s="472"/>
      <c r="F44" s="447"/>
      <c r="G44" s="118"/>
    </row>
    <row r="45" spans="1:12" s="121" customFormat="1">
      <c r="A45" s="474"/>
      <c r="B45" s="447"/>
      <c r="C45" s="473"/>
      <c r="D45" s="447"/>
      <c r="E45" s="472"/>
      <c r="F45" s="447"/>
    </row>
    <row r="46" spans="1:12" s="119" customFormat="1" ht="21">
      <c r="A46" s="474"/>
      <c r="B46" s="447"/>
      <c r="C46" s="473"/>
      <c r="D46" s="447"/>
      <c r="E46" s="472"/>
      <c r="F46" s="447"/>
    </row>
    <row r="47" spans="1:12" s="120" customFormat="1" ht="21.75">
      <c r="A47" s="474"/>
      <c r="B47" s="447"/>
      <c r="C47" s="473"/>
      <c r="D47" s="447"/>
      <c r="E47" s="472"/>
      <c r="F47" s="447"/>
      <c r="G47" s="121"/>
    </row>
    <row r="48" spans="1:12" s="120" customFormat="1" ht="21.75">
      <c r="A48" s="474"/>
      <c r="B48" s="447"/>
      <c r="C48" s="473"/>
      <c r="D48" s="447"/>
      <c r="E48" s="472"/>
      <c r="F48" s="447"/>
      <c r="G48" s="121"/>
    </row>
    <row r="49" spans="1:7" s="118" customFormat="1" ht="21">
      <c r="A49" s="474"/>
      <c r="B49" s="447"/>
      <c r="C49" s="473"/>
      <c r="D49" s="447"/>
      <c r="E49" s="472"/>
      <c r="F49" s="447"/>
    </row>
    <row r="50" spans="1:7" s="119" customFormat="1" ht="25.5" customHeight="1">
      <c r="A50" s="474"/>
      <c r="B50" s="447"/>
      <c r="C50" s="473"/>
      <c r="D50" s="447"/>
      <c r="E50" s="472"/>
      <c r="F50" s="447"/>
      <c r="G50" s="118"/>
    </row>
    <row r="51" spans="1:7" s="110" customFormat="1" ht="21">
      <c r="A51" s="474"/>
      <c r="B51" s="447"/>
      <c r="C51" s="473"/>
      <c r="D51" s="447"/>
      <c r="E51" s="472"/>
      <c r="F51" s="447"/>
      <c r="G51" s="118"/>
    </row>
    <row r="52" spans="1:7" s="123" customFormat="1" ht="21">
      <c r="A52" s="474"/>
      <c r="B52" s="447"/>
      <c r="C52" s="473"/>
      <c r="D52" s="447"/>
      <c r="E52" s="472"/>
      <c r="F52" s="447"/>
      <c r="G52" s="118"/>
    </row>
    <row r="53" spans="1:7" s="118" customFormat="1" ht="21">
      <c r="A53" s="474"/>
      <c r="B53" s="447"/>
      <c r="C53" s="473"/>
      <c r="D53" s="447"/>
      <c r="E53" s="472"/>
      <c r="F53" s="447"/>
      <c r="G53" s="125"/>
    </row>
    <row r="54" spans="1:7" s="122" customFormat="1" ht="28.5">
      <c r="A54" s="474"/>
      <c r="B54" s="447"/>
      <c r="C54" s="473"/>
      <c r="D54" s="447"/>
      <c r="E54" s="472"/>
      <c r="F54" s="447"/>
      <c r="G54" s="126"/>
    </row>
    <row r="55" spans="1:7" s="122" customFormat="1" ht="19.5">
      <c r="A55" s="474"/>
      <c r="B55" s="447"/>
      <c r="C55" s="473"/>
      <c r="D55" s="447"/>
      <c r="E55" s="472"/>
      <c r="F55" s="447"/>
    </row>
    <row r="56" spans="1:7" s="122" customFormat="1" ht="19.5">
      <c r="A56" s="474"/>
      <c r="B56" s="447"/>
      <c r="C56" s="473"/>
      <c r="D56" s="447"/>
      <c r="E56" s="472"/>
      <c r="F56" s="447"/>
    </row>
    <row r="57" spans="1:7" s="122" customFormat="1" ht="19.5">
      <c r="A57" s="474"/>
      <c r="B57" s="447"/>
      <c r="C57" s="473"/>
      <c r="D57" s="447"/>
      <c r="E57" s="472"/>
      <c r="F57" s="447"/>
    </row>
    <row r="58" spans="1:7" s="122" customFormat="1" ht="19.5">
      <c r="A58" s="474"/>
      <c r="B58" s="447"/>
      <c r="C58" s="473"/>
      <c r="D58" s="447"/>
      <c r="E58" s="472"/>
      <c r="F58" s="447"/>
    </row>
    <row r="59" spans="1:7" s="122" customFormat="1" ht="19.5">
      <c r="A59" s="474"/>
      <c r="B59" s="447"/>
      <c r="C59" s="473"/>
      <c r="D59" s="447"/>
      <c r="E59" s="472"/>
      <c r="F59" s="447"/>
    </row>
    <row r="60" spans="1:7" s="122" customFormat="1" ht="19.5">
      <c r="A60" s="474"/>
      <c r="B60" s="447"/>
      <c r="C60" s="473"/>
      <c r="D60" s="447"/>
      <c r="E60" s="472"/>
      <c r="F60" s="447"/>
    </row>
    <row r="61" spans="1:7" s="122" customFormat="1" ht="19.5">
      <c r="A61" s="474"/>
      <c r="B61" s="447"/>
      <c r="C61" s="473"/>
      <c r="D61" s="447"/>
      <c r="E61" s="472"/>
      <c r="F61" s="447"/>
    </row>
    <row r="62" spans="1:7" s="122" customFormat="1" ht="19.5">
      <c r="A62" s="474"/>
      <c r="B62" s="447"/>
      <c r="C62" s="473"/>
      <c r="D62" s="447"/>
      <c r="E62" s="472"/>
      <c r="F62" s="447"/>
    </row>
    <row r="63" spans="1:7" s="122" customFormat="1" ht="19.5">
      <c r="A63" s="474"/>
      <c r="B63" s="447"/>
      <c r="C63" s="473"/>
      <c r="D63" s="447"/>
      <c r="E63" s="472"/>
      <c r="F63" s="447"/>
    </row>
    <row r="64" spans="1:7" s="122" customFormat="1" ht="19.5">
      <c r="A64" s="474"/>
      <c r="B64" s="447"/>
      <c r="C64" s="473"/>
      <c r="D64" s="447"/>
      <c r="E64" s="472"/>
      <c r="F64" s="447"/>
    </row>
    <row r="65" spans="1:6" s="122" customFormat="1" ht="19.5">
      <c r="A65" s="474"/>
      <c r="B65" s="447"/>
      <c r="C65" s="473"/>
      <c r="D65" s="447"/>
      <c r="E65" s="472"/>
      <c r="F65" s="447"/>
    </row>
    <row r="66" spans="1:6" s="122" customFormat="1" ht="19.5">
      <c r="A66" s="474"/>
      <c r="B66" s="447"/>
      <c r="C66" s="473"/>
      <c r="D66" s="447"/>
      <c r="E66" s="472"/>
      <c r="F66" s="447"/>
    </row>
    <row r="67" spans="1:6" s="122" customFormat="1" ht="19.5">
      <c r="A67" s="474"/>
      <c r="B67" s="447"/>
      <c r="C67" s="473"/>
      <c r="D67" s="447"/>
      <c r="E67" s="472"/>
      <c r="F67" s="447"/>
    </row>
    <row r="68" spans="1:6" s="122" customFormat="1" ht="19.5">
      <c r="A68" s="474"/>
      <c r="B68" s="447"/>
      <c r="C68" s="473"/>
      <c r="D68" s="447"/>
      <c r="E68" s="472"/>
      <c r="F68" s="447"/>
    </row>
    <row r="69" spans="1:6" s="122" customFormat="1" ht="19.5">
      <c r="A69" s="474"/>
      <c r="B69" s="447"/>
      <c r="C69" s="473"/>
      <c r="D69" s="447"/>
      <c r="E69" s="472"/>
      <c r="F69" s="447"/>
    </row>
    <row r="70" spans="1:6" s="122" customFormat="1" ht="19.5">
      <c r="A70" s="474"/>
      <c r="B70" s="447"/>
      <c r="C70" s="473"/>
      <c r="D70" s="447"/>
      <c r="E70" s="472"/>
      <c r="F70" s="447"/>
    </row>
    <row r="71" spans="1:6" s="122" customFormat="1" ht="19.5">
      <c r="A71" s="474"/>
      <c r="B71" s="447"/>
      <c r="C71" s="473"/>
      <c r="D71" s="447"/>
      <c r="E71" s="472"/>
      <c r="F71" s="447"/>
    </row>
    <row r="72" spans="1:6" s="122" customFormat="1" ht="19.5">
      <c r="A72" s="474"/>
      <c r="B72" s="447"/>
      <c r="C72" s="473"/>
      <c r="D72" s="447"/>
      <c r="E72" s="472"/>
      <c r="F72" s="447"/>
    </row>
    <row r="73" spans="1:6" s="122" customFormat="1" ht="19.5">
      <c r="A73" s="474"/>
      <c r="B73" s="447"/>
      <c r="C73" s="473"/>
      <c r="D73" s="447"/>
      <c r="E73" s="472"/>
      <c r="F73" s="447"/>
    </row>
    <row r="74" spans="1:6" s="122" customFormat="1" ht="19.5">
      <c r="A74" s="474"/>
      <c r="B74" s="447"/>
      <c r="C74" s="473"/>
      <c r="D74" s="447"/>
      <c r="E74" s="472"/>
      <c r="F74" s="447"/>
    </row>
    <row r="75" spans="1:6" s="122" customFormat="1" ht="19.5">
      <c r="A75" s="474"/>
      <c r="B75" s="447"/>
      <c r="C75" s="473"/>
      <c r="D75" s="447"/>
      <c r="E75" s="472"/>
      <c r="F75" s="447"/>
    </row>
    <row r="76" spans="1:6" s="122" customFormat="1" ht="19.5">
      <c r="A76" s="474"/>
      <c r="B76" s="447"/>
      <c r="C76" s="473"/>
      <c r="D76" s="447"/>
      <c r="E76" s="472"/>
      <c r="F76" s="447"/>
    </row>
    <row r="77" spans="1:6" s="122" customFormat="1" ht="19.5">
      <c r="A77" s="474"/>
      <c r="B77" s="447"/>
      <c r="C77" s="473"/>
      <c r="D77" s="447"/>
      <c r="E77" s="472"/>
      <c r="F77" s="447"/>
    </row>
    <row r="78" spans="1:6" s="122" customFormat="1" ht="19.5">
      <c r="A78" s="474"/>
      <c r="B78" s="447"/>
      <c r="C78" s="473"/>
      <c r="D78" s="447"/>
      <c r="E78" s="472"/>
      <c r="F78" s="447"/>
    </row>
    <row r="79" spans="1:6" s="122" customFormat="1" ht="19.5">
      <c r="A79" s="474"/>
      <c r="B79" s="447"/>
      <c r="C79" s="473"/>
      <c r="D79" s="447"/>
      <c r="E79" s="472"/>
      <c r="F79" s="447"/>
    </row>
    <row r="80" spans="1:6" s="122" customFormat="1" ht="19.5">
      <c r="A80" s="474"/>
      <c r="B80" s="447"/>
      <c r="C80" s="473"/>
      <c r="D80" s="447"/>
      <c r="E80" s="472"/>
      <c r="F80" s="447"/>
    </row>
    <row r="81" spans="1:6" s="122" customFormat="1" ht="19.5">
      <c r="A81" s="474"/>
      <c r="B81" s="447"/>
      <c r="C81" s="473"/>
      <c r="D81" s="447"/>
      <c r="E81" s="472"/>
      <c r="F81" s="447"/>
    </row>
    <row r="82" spans="1:6" s="122" customFormat="1" ht="19.5">
      <c r="A82" s="474"/>
      <c r="B82" s="447"/>
      <c r="C82" s="473"/>
      <c r="D82" s="447"/>
      <c r="E82" s="472"/>
      <c r="F82" s="447"/>
    </row>
    <row r="83" spans="1:6" s="122" customFormat="1" ht="19.5">
      <c r="A83" s="474"/>
      <c r="B83" s="447"/>
      <c r="C83" s="473"/>
      <c r="D83" s="447"/>
      <c r="E83" s="472"/>
      <c r="F83" s="447"/>
    </row>
    <row r="84" spans="1:6" s="122" customFormat="1" ht="19.5">
      <c r="A84" s="474"/>
      <c r="B84" s="447"/>
      <c r="C84" s="473"/>
      <c r="D84" s="447"/>
      <c r="E84" s="472"/>
      <c r="F84" s="447"/>
    </row>
    <row r="85" spans="1:6" s="122" customFormat="1" ht="19.5">
      <c r="A85" s="474"/>
      <c r="B85" s="447"/>
      <c r="C85" s="473"/>
      <c r="D85" s="447"/>
      <c r="E85" s="472"/>
      <c r="F85" s="447"/>
    </row>
    <row r="86" spans="1:6" s="122" customFormat="1" ht="19.5">
      <c r="A86" s="474"/>
      <c r="B86" s="447"/>
      <c r="C86" s="473"/>
      <c r="D86" s="447"/>
      <c r="E86" s="472"/>
      <c r="F86" s="447"/>
    </row>
    <row r="87" spans="1:6" s="122" customFormat="1" ht="19.5">
      <c r="A87" s="474"/>
      <c r="B87" s="447"/>
      <c r="C87" s="473"/>
      <c r="D87" s="447"/>
      <c r="E87" s="472"/>
      <c r="F87" s="447"/>
    </row>
    <row r="88" spans="1:6" s="122" customFormat="1" ht="19.5">
      <c r="A88" s="474"/>
      <c r="B88" s="447"/>
      <c r="C88" s="473"/>
      <c r="D88" s="447"/>
      <c r="E88" s="472"/>
      <c r="F88" s="447"/>
    </row>
    <row r="89" spans="1:6" s="122" customFormat="1" ht="19.5">
      <c r="A89" s="474"/>
      <c r="B89" s="447"/>
      <c r="C89" s="473"/>
      <c r="D89" s="447"/>
      <c r="E89" s="472"/>
      <c r="F89" s="447"/>
    </row>
    <row r="90" spans="1:6" s="122" customFormat="1" ht="19.5">
      <c r="A90" s="474"/>
      <c r="B90" s="447"/>
      <c r="C90" s="473"/>
      <c r="D90" s="447"/>
      <c r="E90" s="472"/>
      <c r="F90" s="447"/>
    </row>
    <row r="91" spans="1:6" s="122" customFormat="1" ht="19.5">
      <c r="A91" s="474"/>
      <c r="B91" s="447"/>
      <c r="C91" s="473"/>
      <c r="D91" s="447"/>
      <c r="E91" s="472"/>
      <c r="F91" s="447"/>
    </row>
    <row r="92" spans="1:6" s="122" customFormat="1" ht="19.5">
      <c r="A92" s="474"/>
      <c r="B92" s="447"/>
      <c r="C92" s="473"/>
      <c r="D92" s="447"/>
      <c r="E92" s="472"/>
      <c r="F92" s="447"/>
    </row>
    <row r="93" spans="1:6" s="122" customFormat="1" ht="19.5">
      <c r="A93" s="474"/>
      <c r="B93" s="447"/>
      <c r="C93" s="473"/>
      <c r="D93" s="447"/>
      <c r="E93" s="472"/>
      <c r="F93" s="447"/>
    </row>
    <row r="94" spans="1:6" s="122" customFormat="1" ht="19.5">
      <c r="A94" s="474"/>
      <c r="B94" s="447"/>
      <c r="C94" s="473"/>
      <c r="D94" s="447"/>
      <c r="E94" s="472"/>
      <c r="F94" s="447"/>
    </row>
    <row r="95" spans="1:6" s="122" customFormat="1" ht="19.5">
      <c r="A95" s="474"/>
      <c r="B95" s="447"/>
      <c r="C95" s="473"/>
      <c r="D95" s="447"/>
      <c r="E95" s="472"/>
      <c r="F95" s="447"/>
    </row>
    <row r="96" spans="1:6" s="122" customFormat="1" ht="19.5">
      <c r="A96" s="474"/>
      <c r="B96" s="447"/>
      <c r="C96" s="473"/>
      <c r="D96" s="447"/>
      <c r="E96" s="472"/>
      <c r="F96" s="447"/>
    </row>
    <row r="97" spans="1:6" s="122" customFormat="1" ht="19.5">
      <c r="A97" s="474"/>
      <c r="B97" s="447"/>
      <c r="C97" s="473"/>
      <c r="D97" s="447"/>
      <c r="E97" s="472"/>
      <c r="F97" s="447"/>
    </row>
    <row r="98" spans="1:6" s="122" customFormat="1" ht="19.5">
      <c r="A98" s="474"/>
      <c r="B98" s="447"/>
      <c r="C98" s="473"/>
      <c r="D98" s="447"/>
      <c r="E98" s="472"/>
      <c r="F98" s="447"/>
    </row>
    <row r="99" spans="1:6" s="122" customFormat="1" ht="19.5">
      <c r="A99" s="474"/>
      <c r="B99" s="447"/>
      <c r="C99" s="473"/>
      <c r="D99" s="447"/>
      <c r="E99" s="472"/>
      <c r="F99" s="447"/>
    </row>
    <row r="100" spans="1:6" s="122" customFormat="1" ht="19.5">
      <c r="A100" s="474"/>
      <c r="B100" s="447"/>
      <c r="C100" s="473"/>
      <c r="D100" s="447"/>
      <c r="E100" s="472"/>
      <c r="F100" s="447"/>
    </row>
    <row r="101" spans="1:6" s="122" customFormat="1" ht="19.5">
      <c r="A101" s="474"/>
      <c r="B101" s="447"/>
      <c r="C101" s="473"/>
      <c r="D101" s="447"/>
      <c r="E101" s="472"/>
      <c r="F101" s="447"/>
    </row>
    <row r="102" spans="1:6" s="122" customFormat="1" ht="19.5">
      <c r="A102" s="474"/>
      <c r="B102" s="447"/>
      <c r="C102" s="473"/>
      <c r="D102" s="447"/>
      <c r="E102" s="472"/>
      <c r="F102" s="447"/>
    </row>
    <row r="103" spans="1:6" s="122" customFormat="1" ht="19.5">
      <c r="A103" s="474"/>
      <c r="B103" s="447"/>
      <c r="C103" s="473"/>
      <c r="D103" s="447"/>
      <c r="E103" s="472"/>
      <c r="F103" s="447"/>
    </row>
    <row r="104" spans="1:6" s="122" customFormat="1" ht="19.5">
      <c r="A104" s="474"/>
      <c r="B104" s="447"/>
      <c r="C104" s="473"/>
      <c r="D104" s="447"/>
      <c r="E104" s="472"/>
      <c r="F104" s="447"/>
    </row>
    <row r="105" spans="1:6" s="122" customFormat="1" ht="19.5">
      <c r="A105" s="474"/>
      <c r="B105" s="447"/>
      <c r="C105" s="473"/>
      <c r="D105" s="447"/>
      <c r="E105" s="472"/>
      <c r="F105" s="447"/>
    </row>
    <row r="106" spans="1:6" s="122" customFormat="1" ht="19.5">
      <c r="A106" s="474"/>
      <c r="B106" s="447"/>
      <c r="C106" s="473"/>
      <c r="D106" s="447"/>
      <c r="E106" s="472"/>
      <c r="F106" s="447"/>
    </row>
    <row r="107" spans="1:6" s="122" customFormat="1" ht="19.5">
      <c r="A107" s="474"/>
      <c r="B107" s="447"/>
      <c r="C107" s="473"/>
      <c r="D107" s="447"/>
      <c r="E107" s="472"/>
      <c r="F107" s="447"/>
    </row>
    <row r="108" spans="1:6" s="122" customFormat="1" ht="19.5">
      <c r="A108" s="474"/>
      <c r="B108" s="447"/>
      <c r="C108" s="473"/>
      <c r="D108" s="447"/>
      <c r="E108" s="472"/>
      <c r="F108" s="447"/>
    </row>
    <row r="109" spans="1:6" s="122" customFormat="1" ht="19.5">
      <c r="A109" s="474"/>
      <c r="B109" s="447"/>
      <c r="C109" s="473"/>
      <c r="D109" s="447"/>
      <c r="E109" s="472"/>
      <c r="F109" s="447"/>
    </row>
    <row r="110" spans="1:6" s="122" customFormat="1" ht="19.5">
      <c r="A110" s="474"/>
      <c r="B110" s="447"/>
      <c r="C110" s="473"/>
      <c r="D110" s="447"/>
      <c r="E110" s="472"/>
      <c r="F110" s="447"/>
    </row>
    <row r="111" spans="1:6" s="122" customFormat="1" ht="19.5">
      <c r="A111" s="474"/>
      <c r="B111" s="447"/>
      <c r="C111" s="473"/>
      <c r="D111" s="447"/>
      <c r="E111" s="472"/>
      <c r="F111" s="447"/>
    </row>
    <row r="112" spans="1:6" s="122" customFormat="1" ht="19.5">
      <c r="A112" s="474"/>
      <c r="B112" s="447"/>
      <c r="C112" s="473"/>
      <c r="D112" s="447"/>
      <c r="E112" s="472"/>
      <c r="F112" s="447"/>
    </row>
    <row r="113" spans="1:6" s="122" customFormat="1" ht="19.5">
      <c r="A113" s="474"/>
      <c r="B113" s="447"/>
      <c r="C113" s="473"/>
      <c r="D113" s="447"/>
      <c r="E113" s="472"/>
      <c r="F113" s="447"/>
    </row>
    <row r="114" spans="1:6" s="122" customFormat="1" ht="19.5">
      <c r="A114" s="474"/>
      <c r="B114" s="447"/>
      <c r="C114" s="473"/>
      <c r="D114" s="447"/>
      <c r="E114" s="472"/>
      <c r="F114" s="447"/>
    </row>
    <row r="115" spans="1:6" s="122" customFormat="1" ht="19.5">
      <c r="A115" s="474"/>
      <c r="B115" s="447"/>
      <c r="C115" s="473"/>
      <c r="D115" s="447"/>
      <c r="E115" s="472"/>
      <c r="F115" s="447"/>
    </row>
    <row r="116" spans="1:6" s="122" customFormat="1" ht="19.5">
      <c r="A116" s="474"/>
      <c r="B116" s="447"/>
      <c r="C116" s="473"/>
      <c r="D116" s="447"/>
      <c r="E116" s="472"/>
      <c r="F116" s="447"/>
    </row>
    <row r="117" spans="1:6" s="122" customFormat="1" ht="19.5">
      <c r="A117" s="474"/>
      <c r="B117" s="447"/>
      <c r="C117" s="473"/>
      <c r="D117" s="447"/>
      <c r="E117" s="472"/>
      <c r="F117" s="447"/>
    </row>
    <row r="118" spans="1:6" s="122" customFormat="1" ht="19.5">
      <c r="A118" s="474"/>
      <c r="B118" s="447"/>
      <c r="C118" s="473"/>
      <c r="D118" s="447"/>
      <c r="E118" s="472"/>
      <c r="F118" s="447"/>
    </row>
    <row r="119" spans="1:6" s="122" customFormat="1" ht="19.5">
      <c r="A119" s="474"/>
      <c r="B119" s="447"/>
      <c r="C119" s="473"/>
      <c r="D119" s="447"/>
      <c r="E119" s="472"/>
      <c r="F119" s="447"/>
    </row>
    <row r="120" spans="1:6" s="122" customFormat="1" ht="19.5">
      <c r="A120" s="474"/>
      <c r="B120" s="447"/>
      <c r="C120" s="473"/>
      <c r="D120" s="447"/>
      <c r="E120" s="472"/>
      <c r="F120" s="447"/>
    </row>
    <row r="121" spans="1:6" s="122" customFormat="1" ht="19.5">
      <c r="A121" s="474"/>
      <c r="B121" s="447"/>
      <c r="C121" s="473"/>
      <c r="D121" s="447"/>
      <c r="E121" s="472"/>
      <c r="F121" s="447"/>
    </row>
    <row r="122" spans="1:6" s="122" customFormat="1" ht="19.5">
      <c r="A122" s="474"/>
      <c r="B122" s="447"/>
      <c r="C122" s="473"/>
      <c r="D122" s="447"/>
      <c r="E122" s="472"/>
      <c r="F122" s="447"/>
    </row>
    <row r="123" spans="1:6" s="122" customFormat="1" ht="19.5">
      <c r="A123" s="474"/>
      <c r="B123" s="447"/>
      <c r="C123" s="473"/>
      <c r="D123" s="447"/>
      <c r="E123" s="472"/>
      <c r="F123" s="447"/>
    </row>
    <row r="124" spans="1:6" s="122" customFormat="1" ht="19.5">
      <c r="A124" s="474"/>
      <c r="B124" s="447"/>
      <c r="C124" s="473"/>
      <c r="D124" s="447"/>
      <c r="E124" s="472"/>
      <c r="F124" s="447"/>
    </row>
    <row r="125" spans="1:6" s="122" customFormat="1" ht="19.5">
      <c r="A125" s="474"/>
      <c r="B125" s="447"/>
      <c r="C125" s="473"/>
      <c r="D125" s="447"/>
      <c r="E125" s="472"/>
      <c r="F125" s="447"/>
    </row>
    <row r="126" spans="1:6" s="122" customFormat="1" ht="60" customHeight="1">
      <c r="A126" s="474"/>
      <c r="B126" s="447"/>
      <c r="C126" s="473"/>
      <c r="D126" s="447"/>
      <c r="E126" s="472"/>
      <c r="F126" s="447"/>
    </row>
    <row r="127" spans="1:6" s="122" customFormat="1" ht="19.5">
      <c r="A127" s="474"/>
      <c r="B127" s="447"/>
      <c r="C127" s="473"/>
      <c r="D127" s="447"/>
      <c r="E127" s="472"/>
      <c r="F127" s="447"/>
    </row>
    <row r="128" spans="1:6" s="122" customFormat="1" ht="19.5">
      <c r="A128" s="474"/>
      <c r="B128" s="447"/>
      <c r="C128" s="473"/>
      <c r="D128" s="447"/>
      <c r="E128" s="472"/>
      <c r="F128" s="447"/>
    </row>
    <row r="129" spans="1:6" s="122" customFormat="1" ht="19.5">
      <c r="A129" s="474"/>
      <c r="B129" s="447"/>
      <c r="C129" s="473"/>
      <c r="D129" s="447"/>
      <c r="E129" s="472"/>
      <c r="F129" s="447"/>
    </row>
    <row r="130" spans="1:6" s="122" customFormat="1" ht="19.5">
      <c r="A130" s="474"/>
      <c r="B130" s="447"/>
      <c r="C130" s="473"/>
      <c r="D130" s="447"/>
      <c r="E130" s="472"/>
      <c r="F130" s="447"/>
    </row>
    <row r="131" spans="1:6" s="122" customFormat="1" ht="19.5">
      <c r="A131" s="474"/>
      <c r="B131" s="447"/>
      <c r="C131" s="473"/>
      <c r="D131" s="447"/>
      <c r="E131" s="472"/>
      <c r="F131" s="447"/>
    </row>
    <row r="132" spans="1:6" s="122" customFormat="1" ht="19.5">
      <c r="A132" s="474"/>
      <c r="B132" s="447"/>
      <c r="C132" s="473"/>
      <c r="D132" s="447"/>
      <c r="E132" s="472"/>
      <c r="F132" s="447"/>
    </row>
    <row r="133" spans="1:6" s="122" customFormat="1" ht="19.5">
      <c r="A133" s="474"/>
      <c r="B133" s="447"/>
      <c r="C133" s="473"/>
      <c r="D133" s="447"/>
      <c r="E133" s="472"/>
      <c r="F133" s="447"/>
    </row>
    <row r="134" spans="1:6" s="122" customFormat="1" ht="19.5">
      <c r="A134" s="474"/>
      <c r="B134" s="447"/>
      <c r="C134" s="473"/>
      <c r="D134" s="447"/>
      <c r="E134" s="472"/>
      <c r="F134" s="447"/>
    </row>
    <row r="135" spans="1:6" s="122" customFormat="1" ht="19.5">
      <c r="A135" s="474"/>
      <c r="B135" s="447"/>
      <c r="C135" s="473"/>
      <c r="D135" s="447"/>
      <c r="E135" s="472"/>
      <c r="F135" s="447"/>
    </row>
    <row r="136" spans="1:6" s="122" customFormat="1" ht="19.5">
      <c r="A136" s="474"/>
      <c r="B136" s="447"/>
      <c r="C136" s="473"/>
      <c r="D136" s="447"/>
      <c r="E136" s="472"/>
      <c r="F136" s="447"/>
    </row>
    <row r="137" spans="1:6" s="122" customFormat="1" ht="19.5">
      <c r="A137" s="474"/>
      <c r="B137" s="447"/>
      <c r="C137" s="473"/>
      <c r="D137" s="447"/>
      <c r="E137" s="472"/>
      <c r="F137" s="447"/>
    </row>
    <row r="138" spans="1:6" s="122" customFormat="1" ht="19.5">
      <c r="A138" s="474"/>
      <c r="B138" s="447"/>
      <c r="C138" s="473"/>
      <c r="D138" s="447"/>
      <c r="E138" s="472"/>
      <c r="F138" s="447"/>
    </row>
    <row r="139" spans="1:6" s="122" customFormat="1" ht="19.5">
      <c r="A139" s="474"/>
      <c r="B139" s="447"/>
      <c r="C139" s="473"/>
      <c r="D139" s="447"/>
      <c r="E139" s="472"/>
      <c r="F139" s="447"/>
    </row>
    <row r="140" spans="1:6" s="122" customFormat="1" ht="19.5">
      <c r="A140" s="474"/>
      <c r="B140" s="447"/>
      <c r="C140" s="473"/>
      <c r="D140" s="447"/>
      <c r="E140" s="472"/>
      <c r="F140" s="447"/>
    </row>
    <row r="141" spans="1:6" s="122" customFormat="1" ht="19.5">
      <c r="A141" s="474"/>
      <c r="B141" s="447"/>
      <c r="C141" s="473"/>
      <c r="D141" s="447"/>
      <c r="E141" s="472"/>
      <c r="F141" s="447"/>
    </row>
    <row r="142" spans="1:6" s="122" customFormat="1" ht="19.5">
      <c r="A142" s="474"/>
      <c r="B142" s="447"/>
      <c r="C142" s="473"/>
      <c r="D142" s="447"/>
      <c r="E142" s="472"/>
      <c r="F142" s="447"/>
    </row>
    <row r="143" spans="1:6" s="122" customFormat="1" ht="19.5">
      <c r="A143" s="474"/>
      <c r="B143" s="447"/>
      <c r="C143" s="473"/>
      <c r="D143" s="447"/>
      <c r="E143" s="472"/>
      <c r="F143" s="447"/>
    </row>
    <row r="144" spans="1:6" s="122" customFormat="1" ht="19.5">
      <c r="A144" s="474"/>
      <c r="B144" s="447"/>
      <c r="C144" s="473"/>
      <c r="D144" s="447"/>
      <c r="E144" s="472"/>
      <c r="F144" s="447"/>
    </row>
    <row r="145" spans="1:6" s="122" customFormat="1" ht="19.5">
      <c r="A145" s="474"/>
      <c r="B145" s="447"/>
      <c r="C145" s="473"/>
      <c r="D145" s="447"/>
      <c r="E145" s="472"/>
      <c r="F145" s="447"/>
    </row>
    <row r="146" spans="1:6" s="122" customFormat="1" ht="19.5">
      <c r="A146" s="474"/>
      <c r="B146" s="447"/>
      <c r="C146" s="473"/>
      <c r="D146" s="447"/>
      <c r="E146" s="472"/>
      <c r="F146" s="447"/>
    </row>
    <row r="147" spans="1:6" s="122" customFormat="1" ht="19.5">
      <c r="A147" s="474"/>
      <c r="B147" s="447"/>
      <c r="C147" s="473"/>
      <c r="D147" s="447"/>
      <c r="E147" s="472"/>
      <c r="F147" s="447"/>
    </row>
    <row r="148" spans="1:6" s="122" customFormat="1" ht="19.5">
      <c r="A148" s="474"/>
      <c r="B148" s="447"/>
      <c r="C148" s="473"/>
      <c r="D148" s="447"/>
      <c r="E148" s="472"/>
      <c r="F148" s="447"/>
    </row>
    <row r="149" spans="1:6" s="122" customFormat="1" ht="19.5">
      <c r="A149" s="474"/>
      <c r="B149" s="447"/>
      <c r="C149" s="473"/>
      <c r="D149" s="447"/>
      <c r="E149" s="472"/>
      <c r="F149" s="447"/>
    </row>
    <row r="150" spans="1:6" s="122" customFormat="1" ht="19.5">
      <c r="A150" s="474"/>
      <c r="B150" s="447"/>
      <c r="C150" s="473"/>
      <c r="D150" s="447"/>
      <c r="E150" s="472"/>
      <c r="F150" s="447"/>
    </row>
    <row r="151" spans="1:6" s="122" customFormat="1" ht="19.5">
      <c r="A151" s="474"/>
      <c r="B151" s="447"/>
      <c r="C151" s="473"/>
      <c r="D151" s="447"/>
      <c r="E151" s="472"/>
      <c r="F151" s="447"/>
    </row>
    <row r="152" spans="1:6" s="122" customFormat="1" ht="19.5">
      <c r="A152" s="474"/>
      <c r="B152" s="447"/>
      <c r="C152" s="473"/>
      <c r="D152" s="447"/>
      <c r="E152" s="472"/>
      <c r="F152" s="447"/>
    </row>
    <row r="153" spans="1:6" s="122" customFormat="1" ht="19.5">
      <c r="A153" s="474"/>
      <c r="B153" s="447"/>
      <c r="C153" s="473"/>
      <c r="D153" s="447"/>
      <c r="E153" s="472"/>
      <c r="F153" s="447"/>
    </row>
    <row r="154" spans="1:6" s="122" customFormat="1" ht="19.5">
      <c r="A154" s="474"/>
      <c r="B154" s="447"/>
      <c r="C154" s="473"/>
      <c r="D154" s="447"/>
      <c r="E154" s="472"/>
      <c r="F154" s="447"/>
    </row>
    <row r="155" spans="1:6" s="122" customFormat="1" ht="19.5">
      <c r="A155" s="474"/>
      <c r="B155" s="447"/>
      <c r="C155" s="473"/>
      <c r="D155" s="447"/>
      <c r="E155" s="472"/>
      <c r="F155" s="447"/>
    </row>
    <row r="156" spans="1:6" s="122" customFormat="1" ht="19.5">
      <c r="A156" s="474"/>
      <c r="B156" s="447"/>
      <c r="C156" s="473"/>
      <c r="D156" s="447"/>
      <c r="E156" s="472"/>
      <c r="F156" s="447"/>
    </row>
    <row r="157" spans="1:6" s="122" customFormat="1" ht="19.5">
      <c r="A157" s="474"/>
      <c r="B157" s="447"/>
      <c r="C157" s="473"/>
      <c r="D157" s="447"/>
      <c r="E157" s="472"/>
      <c r="F157" s="447"/>
    </row>
    <row r="158" spans="1:6" s="122" customFormat="1" ht="19.5">
      <c r="A158" s="474"/>
      <c r="B158" s="447"/>
      <c r="C158" s="473"/>
      <c r="D158" s="447"/>
      <c r="E158" s="472"/>
      <c r="F158" s="447"/>
    </row>
    <row r="159" spans="1:6" s="122" customFormat="1" ht="19.5">
      <c r="A159" s="474"/>
      <c r="B159" s="447"/>
      <c r="C159" s="473"/>
      <c r="D159" s="447"/>
      <c r="E159" s="472"/>
      <c r="F159" s="447"/>
    </row>
    <row r="160" spans="1:6" s="122" customFormat="1" ht="19.5">
      <c r="A160" s="474"/>
      <c r="B160" s="447"/>
      <c r="C160" s="473"/>
      <c r="D160" s="447"/>
      <c r="E160" s="472"/>
      <c r="F160" s="447"/>
    </row>
    <row r="161" spans="1:6" s="122" customFormat="1" ht="19.5">
      <c r="A161" s="474"/>
      <c r="B161" s="447"/>
      <c r="C161" s="473"/>
      <c r="D161" s="447"/>
      <c r="E161" s="472"/>
      <c r="F161" s="447"/>
    </row>
    <row r="162" spans="1:6" s="122" customFormat="1" ht="19.5">
      <c r="A162" s="474"/>
      <c r="B162" s="447"/>
      <c r="C162" s="473"/>
      <c r="D162" s="447"/>
      <c r="E162" s="472"/>
      <c r="F162" s="447"/>
    </row>
    <row r="163" spans="1:6" s="122" customFormat="1" ht="19.5">
      <c r="A163" s="474"/>
      <c r="B163" s="447"/>
      <c r="C163" s="473"/>
      <c r="D163" s="447"/>
      <c r="E163" s="472"/>
      <c r="F163" s="447"/>
    </row>
    <row r="164" spans="1:6" s="122" customFormat="1" ht="19.5">
      <c r="A164" s="474"/>
      <c r="B164" s="447"/>
      <c r="C164" s="473"/>
      <c r="D164" s="447"/>
      <c r="E164" s="472"/>
      <c r="F164" s="447"/>
    </row>
    <row r="165" spans="1:6" s="122" customFormat="1" ht="19.5">
      <c r="A165" s="474"/>
      <c r="B165" s="447"/>
      <c r="C165" s="473"/>
      <c r="D165" s="447"/>
      <c r="E165" s="472"/>
      <c r="F165" s="447"/>
    </row>
    <row r="166" spans="1:6" s="122" customFormat="1" ht="19.5">
      <c r="A166" s="474"/>
      <c r="B166" s="447"/>
      <c r="C166" s="473"/>
      <c r="D166" s="447"/>
      <c r="E166" s="472"/>
      <c r="F166" s="447"/>
    </row>
    <row r="167" spans="1:6" s="122" customFormat="1" ht="19.5">
      <c r="A167" s="474"/>
      <c r="B167" s="447"/>
      <c r="C167" s="473"/>
      <c r="D167" s="447"/>
      <c r="E167" s="472"/>
      <c r="F167" s="447"/>
    </row>
    <row r="168" spans="1:6" s="122" customFormat="1" ht="19.5">
      <c r="A168" s="474"/>
      <c r="B168" s="447"/>
      <c r="C168" s="473"/>
      <c r="D168" s="447"/>
      <c r="E168" s="472"/>
      <c r="F168" s="447"/>
    </row>
    <row r="169" spans="1:6" s="122" customFormat="1" ht="19.5">
      <c r="A169" s="474"/>
      <c r="B169" s="447"/>
      <c r="C169" s="473"/>
      <c r="D169" s="447"/>
      <c r="E169" s="472"/>
      <c r="F169" s="447"/>
    </row>
    <row r="170" spans="1:6" s="122" customFormat="1" ht="19.5">
      <c r="A170" s="474"/>
      <c r="B170" s="447"/>
      <c r="C170" s="473"/>
      <c r="D170" s="447"/>
      <c r="E170" s="472"/>
      <c r="F170" s="447"/>
    </row>
    <row r="171" spans="1:6" s="122" customFormat="1" ht="19.5">
      <c r="A171" s="474"/>
      <c r="B171" s="447"/>
      <c r="C171" s="473"/>
      <c r="D171" s="447"/>
      <c r="E171" s="472"/>
      <c r="F171" s="447"/>
    </row>
    <row r="172" spans="1:6" s="122" customFormat="1" ht="19.5">
      <c r="A172" s="474"/>
      <c r="B172" s="447"/>
      <c r="C172" s="473"/>
      <c r="D172" s="447"/>
      <c r="E172" s="472"/>
      <c r="F172" s="447"/>
    </row>
    <row r="173" spans="1:6" s="122" customFormat="1" ht="19.5">
      <c r="A173" s="474"/>
      <c r="B173" s="447"/>
      <c r="C173" s="473"/>
      <c r="D173" s="447"/>
      <c r="E173" s="472"/>
      <c r="F173" s="447"/>
    </row>
    <row r="174" spans="1:6" s="122" customFormat="1" ht="19.5">
      <c r="A174" s="474"/>
      <c r="B174" s="447"/>
      <c r="C174" s="473"/>
      <c r="D174" s="447"/>
      <c r="E174" s="472"/>
      <c r="F174" s="447"/>
    </row>
    <row r="175" spans="1:6" s="122" customFormat="1" ht="19.5">
      <c r="A175" s="474"/>
      <c r="B175" s="447"/>
      <c r="C175" s="473"/>
      <c r="D175" s="447"/>
      <c r="E175" s="472"/>
      <c r="F175" s="447"/>
    </row>
    <row r="176" spans="1:6" s="122" customFormat="1" ht="19.5">
      <c r="A176" s="474"/>
      <c r="B176" s="447"/>
      <c r="C176" s="473"/>
      <c r="D176" s="447"/>
      <c r="E176" s="472"/>
      <c r="F176" s="447"/>
    </row>
    <row r="177" spans="1:6" s="122" customFormat="1" ht="19.5">
      <c r="A177" s="474"/>
      <c r="B177" s="447"/>
      <c r="C177" s="473"/>
      <c r="D177" s="447"/>
      <c r="E177" s="472"/>
      <c r="F177" s="447"/>
    </row>
    <row r="178" spans="1:6" s="122" customFormat="1" ht="19.5">
      <c r="A178" s="474"/>
      <c r="B178" s="447"/>
      <c r="C178" s="473"/>
      <c r="D178" s="447"/>
      <c r="E178" s="472"/>
      <c r="F178" s="447"/>
    </row>
    <row r="179" spans="1:6" s="122" customFormat="1" ht="19.5">
      <c r="A179" s="474"/>
      <c r="B179" s="447"/>
      <c r="C179" s="473"/>
      <c r="D179" s="447"/>
      <c r="E179" s="472"/>
      <c r="F179" s="447"/>
    </row>
    <row r="180" spans="1:6" s="122" customFormat="1" ht="19.5">
      <c r="A180" s="474"/>
      <c r="B180" s="447"/>
      <c r="C180" s="473"/>
      <c r="D180" s="447"/>
      <c r="E180" s="472"/>
      <c r="F180" s="447"/>
    </row>
    <row r="181" spans="1:6" s="122" customFormat="1" ht="19.5">
      <c r="A181" s="474"/>
      <c r="B181" s="447"/>
      <c r="C181" s="473"/>
      <c r="D181" s="447"/>
      <c r="E181" s="472"/>
      <c r="F181" s="447"/>
    </row>
    <row r="182" spans="1:6" s="122" customFormat="1" ht="19.5">
      <c r="A182" s="474"/>
      <c r="B182" s="447"/>
      <c r="C182" s="473"/>
      <c r="D182" s="447"/>
      <c r="E182" s="472"/>
      <c r="F182" s="447"/>
    </row>
    <row r="183" spans="1:6" s="122" customFormat="1" ht="19.5">
      <c r="A183" s="474"/>
      <c r="B183" s="447"/>
      <c r="C183" s="473"/>
      <c r="D183" s="447"/>
      <c r="E183" s="472"/>
      <c r="F183" s="447"/>
    </row>
    <row r="184" spans="1:6" s="122" customFormat="1" ht="19.5">
      <c r="A184" s="474"/>
      <c r="B184" s="447"/>
      <c r="C184" s="473"/>
      <c r="D184" s="447"/>
      <c r="E184" s="472"/>
      <c r="F184" s="447"/>
    </row>
    <row r="185" spans="1:6" s="122" customFormat="1" ht="19.5">
      <c r="A185" s="474"/>
      <c r="B185" s="447"/>
      <c r="C185" s="473"/>
      <c r="D185" s="447"/>
      <c r="E185" s="472"/>
      <c r="F185" s="447"/>
    </row>
    <row r="186" spans="1:6" s="122" customFormat="1" ht="19.5">
      <c r="A186" s="474"/>
      <c r="B186" s="447"/>
      <c r="C186" s="473"/>
      <c r="D186" s="447"/>
      <c r="E186" s="472"/>
      <c r="F186" s="447"/>
    </row>
    <row r="187" spans="1:6" s="122" customFormat="1" ht="19.5">
      <c r="A187" s="474"/>
      <c r="B187" s="447"/>
      <c r="C187" s="473"/>
      <c r="D187" s="447"/>
      <c r="E187" s="472"/>
      <c r="F187" s="447"/>
    </row>
    <row r="188" spans="1:6" s="122" customFormat="1" ht="19.5">
      <c r="A188" s="474"/>
      <c r="B188" s="447"/>
      <c r="C188" s="473"/>
      <c r="D188" s="447"/>
      <c r="E188" s="472"/>
      <c r="F188" s="447"/>
    </row>
    <row r="189" spans="1:6" s="122" customFormat="1" ht="19.5">
      <c r="A189" s="474"/>
      <c r="B189" s="447"/>
      <c r="C189" s="473"/>
      <c r="D189" s="447"/>
      <c r="E189" s="472"/>
      <c r="F189" s="447"/>
    </row>
    <row r="190" spans="1:6" s="122" customFormat="1" ht="19.5">
      <c r="A190" s="474"/>
      <c r="B190" s="447"/>
      <c r="C190" s="473"/>
      <c r="D190" s="447"/>
      <c r="E190" s="472"/>
      <c r="F190" s="447"/>
    </row>
    <row r="191" spans="1:6" s="122" customFormat="1" ht="19.5">
      <c r="A191" s="474"/>
      <c r="B191" s="447"/>
      <c r="C191" s="473"/>
      <c r="D191" s="447"/>
      <c r="E191" s="472"/>
      <c r="F191" s="447"/>
    </row>
    <row r="192" spans="1:6" s="122" customFormat="1" ht="19.5">
      <c r="A192" s="474"/>
      <c r="B192" s="447"/>
      <c r="C192" s="473"/>
      <c r="D192" s="447"/>
      <c r="E192" s="472"/>
      <c r="F192" s="447"/>
    </row>
    <row r="193" spans="1:7" s="122" customFormat="1" ht="19.5">
      <c r="A193" s="474"/>
      <c r="B193" s="447"/>
      <c r="C193" s="473"/>
      <c r="D193" s="447"/>
      <c r="E193" s="472"/>
      <c r="F193" s="447"/>
    </row>
    <row r="194" spans="1:7" s="122" customFormat="1" ht="19.5">
      <c r="A194" s="474"/>
      <c r="B194" s="447"/>
      <c r="C194" s="473"/>
      <c r="D194" s="447"/>
      <c r="E194" s="472"/>
      <c r="F194" s="447"/>
    </row>
    <row r="195" spans="1:7" s="122" customFormat="1" ht="19.5">
      <c r="A195" s="474"/>
      <c r="B195" s="447"/>
      <c r="C195" s="473"/>
      <c r="D195" s="447"/>
      <c r="E195" s="472"/>
      <c r="F195" s="447"/>
    </row>
    <row r="196" spans="1:7" s="122" customFormat="1" ht="19.5">
      <c r="A196" s="474"/>
      <c r="B196" s="447"/>
      <c r="C196" s="473"/>
      <c r="D196" s="447"/>
      <c r="E196" s="472"/>
      <c r="F196" s="447"/>
    </row>
    <row r="197" spans="1:7" s="122" customFormat="1" ht="19.5">
      <c r="A197" s="474"/>
      <c r="B197" s="447"/>
      <c r="C197" s="473"/>
      <c r="D197" s="447"/>
      <c r="E197" s="472"/>
      <c r="F197" s="447"/>
    </row>
    <row r="198" spans="1:7" s="122" customFormat="1" ht="19.5">
      <c r="A198" s="474"/>
      <c r="B198" s="447"/>
      <c r="C198" s="473"/>
      <c r="D198" s="447"/>
      <c r="E198" s="472"/>
      <c r="F198" s="447"/>
    </row>
    <row r="199" spans="1:7" s="122" customFormat="1" ht="19.5">
      <c r="A199" s="474"/>
      <c r="B199" s="447"/>
      <c r="C199" s="473"/>
      <c r="D199" s="447"/>
      <c r="E199" s="472"/>
      <c r="F199" s="447"/>
    </row>
    <row r="200" spans="1:7" s="122" customFormat="1" ht="19.5">
      <c r="A200" s="474"/>
      <c r="B200" s="447"/>
      <c r="C200" s="473"/>
      <c r="D200" s="447"/>
      <c r="E200" s="472"/>
      <c r="F200" s="447"/>
    </row>
    <row r="201" spans="1:7" s="122" customFormat="1" ht="19.5">
      <c r="A201" s="447"/>
      <c r="B201" s="447"/>
      <c r="C201" s="447"/>
      <c r="D201" s="447"/>
      <c r="E201" s="447"/>
      <c r="F201" s="447"/>
    </row>
    <row r="202" spans="1:7" s="122" customFormat="1" ht="19.5">
      <c r="A202" s="447"/>
      <c r="B202" s="447"/>
      <c r="C202" s="447"/>
      <c r="D202" s="447"/>
      <c r="E202" s="447"/>
      <c r="F202" s="447"/>
    </row>
    <row r="203" spans="1:7" ht="19.5">
      <c r="A203" s="447"/>
      <c r="C203" s="447"/>
      <c r="E203" s="447"/>
      <c r="G203" s="122"/>
    </row>
    <row r="204" spans="1:7" s="123" customFormat="1" ht="19.5">
      <c r="A204" s="447"/>
      <c r="B204" s="447"/>
      <c r="C204" s="447"/>
      <c r="D204" s="447"/>
      <c r="E204" s="447"/>
      <c r="F204" s="447"/>
      <c r="G204" s="122"/>
    </row>
    <row r="205" spans="1:7" s="123" customFormat="1" ht="19.5">
      <c r="A205" s="447"/>
      <c r="B205" s="447"/>
      <c r="C205" s="447"/>
      <c r="D205" s="447"/>
      <c r="E205" s="447"/>
      <c r="F205" s="447"/>
      <c r="G205" s="122"/>
    </row>
    <row r="206" spans="1:7" ht="15.75">
      <c r="A206" s="447"/>
      <c r="C206" s="447"/>
      <c r="E206" s="447"/>
    </row>
    <row r="207" spans="1:7" ht="19.5">
      <c r="A207" s="447"/>
      <c r="C207" s="447"/>
      <c r="E207" s="447"/>
      <c r="G207" s="123"/>
    </row>
    <row r="208" spans="1:7" ht="28.5">
      <c r="A208" s="447"/>
      <c r="C208" s="447"/>
      <c r="E208" s="447"/>
      <c r="G208" s="127"/>
    </row>
    <row r="209" spans="1:12" ht="15.75">
      <c r="A209" s="447"/>
      <c r="C209" s="447"/>
      <c r="E209" s="447"/>
    </row>
    <row r="210" spans="1:12" ht="15.75">
      <c r="A210" s="447"/>
      <c r="C210" s="447"/>
      <c r="E210" s="447"/>
    </row>
    <row r="211" spans="1:12" ht="15.75">
      <c r="A211" s="447"/>
      <c r="C211" s="447"/>
      <c r="E211" s="447"/>
    </row>
    <row r="212" spans="1:12" s="447" customFormat="1" ht="15.75">
      <c r="G212" s="89"/>
      <c r="H212" s="89"/>
      <c r="I212" s="89"/>
      <c r="J212" s="89"/>
      <c r="K212" s="89"/>
      <c r="L212" s="89"/>
    </row>
    <row r="213" spans="1:12" s="447" customFormat="1" ht="15.75">
      <c r="G213" s="89"/>
      <c r="H213" s="89"/>
      <c r="I213" s="89"/>
      <c r="J213" s="89"/>
      <c r="K213" s="89"/>
      <c r="L213" s="89"/>
    </row>
    <row r="214" spans="1:12" s="447" customFormat="1" ht="15.75">
      <c r="G214" s="89"/>
      <c r="H214" s="89"/>
      <c r="I214" s="89"/>
      <c r="J214" s="89"/>
      <c r="K214" s="89"/>
      <c r="L214" s="89"/>
    </row>
    <row r="215" spans="1:12" s="447" customFormat="1" ht="15.75">
      <c r="G215" s="89"/>
      <c r="H215" s="89"/>
      <c r="I215" s="89"/>
      <c r="J215" s="89"/>
      <c r="K215" s="89"/>
      <c r="L215" s="89"/>
    </row>
    <row r="216" spans="1:12" s="447" customFormat="1" ht="15.75">
      <c r="G216" s="89"/>
      <c r="H216" s="89"/>
      <c r="I216" s="89"/>
      <c r="J216" s="89"/>
      <c r="K216" s="89"/>
      <c r="L216" s="89"/>
    </row>
    <row r="217" spans="1:12" s="447" customFormat="1" ht="15.75">
      <c r="G217" s="89"/>
      <c r="H217" s="89"/>
      <c r="I217" s="89"/>
      <c r="J217" s="89"/>
      <c r="K217" s="89"/>
      <c r="L217" s="89"/>
    </row>
    <row r="218" spans="1:12" s="447" customFormat="1" ht="15.75">
      <c r="G218" s="89"/>
      <c r="H218" s="89"/>
      <c r="I218" s="89"/>
      <c r="J218" s="89"/>
      <c r="K218" s="89"/>
      <c r="L218" s="89"/>
    </row>
    <row r="219" spans="1:12" s="447" customFormat="1" ht="15.75">
      <c r="G219" s="89"/>
      <c r="H219" s="89"/>
      <c r="I219" s="89"/>
      <c r="J219" s="89"/>
      <c r="K219" s="89"/>
      <c r="L219" s="89"/>
    </row>
    <row r="220" spans="1:12" s="447" customFormat="1" ht="15.75">
      <c r="G220" s="89"/>
      <c r="H220" s="89"/>
      <c r="I220" s="89"/>
      <c r="J220" s="89"/>
      <c r="K220" s="89"/>
      <c r="L220" s="89"/>
    </row>
    <row r="221" spans="1:12" s="447" customFormat="1" ht="15.75">
      <c r="G221" s="89"/>
      <c r="H221" s="89"/>
      <c r="I221" s="89"/>
      <c r="J221" s="89"/>
      <c r="K221" s="89"/>
      <c r="L221" s="89"/>
    </row>
    <row r="222" spans="1:12" s="447" customFormat="1" ht="15.75">
      <c r="G222" s="89"/>
      <c r="H222" s="89"/>
      <c r="I222" s="89"/>
      <c r="J222" s="89"/>
      <c r="K222" s="89"/>
      <c r="L222" s="89"/>
    </row>
    <row r="223" spans="1:12" s="447" customFormat="1" ht="15.75">
      <c r="G223" s="89"/>
      <c r="H223" s="89"/>
      <c r="I223" s="89"/>
      <c r="J223" s="89"/>
      <c r="K223" s="89"/>
      <c r="L223" s="89"/>
    </row>
    <row r="224" spans="1:12" s="447" customFormat="1" ht="15.75">
      <c r="G224" s="89"/>
      <c r="H224" s="89"/>
      <c r="I224" s="89"/>
      <c r="J224" s="89"/>
      <c r="K224" s="89"/>
      <c r="L224" s="89"/>
    </row>
    <row r="225" spans="7:12" s="447" customFormat="1" ht="15.75">
      <c r="G225" s="89"/>
      <c r="H225" s="89"/>
      <c r="I225" s="89"/>
      <c r="J225" s="89"/>
      <c r="K225" s="89"/>
      <c r="L225" s="89"/>
    </row>
    <row r="226" spans="7:12" s="447" customFormat="1" ht="15.75">
      <c r="G226" s="89"/>
      <c r="H226" s="89"/>
      <c r="I226" s="89"/>
      <c r="J226" s="89"/>
      <c r="K226" s="89"/>
      <c r="L226" s="89"/>
    </row>
    <row r="227" spans="7:12" s="447" customFormat="1" ht="15.75">
      <c r="G227" s="89"/>
      <c r="H227" s="89"/>
      <c r="I227" s="89"/>
      <c r="J227" s="89"/>
      <c r="K227" s="89"/>
      <c r="L227" s="89"/>
    </row>
    <row r="228" spans="7:12" s="447" customFormat="1" ht="15.75">
      <c r="G228" s="89"/>
      <c r="H228" s="89"/>
      <c r="I228" s="89"/>
      <c r="J228" s="89"/>
      <c r="K228" s="89"/>
      <c r="L228" s="89"/>
    </row>
    <row r="229" spans="7:12" s="447" customFormat="1" ht="15.75">
      <c r="G229" s="89"/>
      <c r="H229" s="89"/>
      <c r="I229" s="89"/>
      <c r="J229" s="89"/>
      <c r="K229" s="89"/>
      <c r="L229" s="89"/>
    </row>
    <row r="230" spans="7:12" s="447" customFormat="1" ht="15.75">
      <c r="G230" s="89"/>
      <c r="H230" s="89"/>
      <c r="I230" s="89"/>
      <c r="J230" s="89"/>
      <c r="K230" s="89"/>
      <c r="L230" s="89"/>
    </row>
    <row r="231" spans="7:12" s="447" customFormat="1" ht="15.75">
      <c r="G231" s="89"/>
      <c r="H231" s="89"/>
      <c r="I231" s="89"/>
      <c r="J231" s="89"/>
      <c r="K231" s="89"/>
      <c r="L231" s="89"/>
    </row>
    <row r="232" spans="7:12" s="447" customFormat="1" ht="15.75">
      <c r="G232" s="89"/>
      <c r="H232" s="89"/>
      <c r="I232" s="89"/>
      <c r="J232" s="89"/>
      <c r="K232" s="89"/>
      <c r="L232" s="89"/>
    </row>
    <row r="233" spans="7:12" s="447" customFormat="1" ht="15.75">
      <c r="G233" s="89"/>
      <c r="H233" s="89"/>
      <c r="I233" s="89"/>
      <c r="J233" s="89"/>
      <c r="K233" s="89"/>
      <c r="L233" s="89"/>
    </row>
    <row r="234" spans="7:12" s="447" customFormat="1" ht="15.75">
      <c r="G234" s="89"/>
      <c r="H234" s="89"/>
      <c r="I234" s="89"/>
      <c r="J234" s="89"/>
      <c r="K234" s="89"/>
      <c r="L234" s="89"/>
    </row>
    <row r="235" spans="7:12" s="447" customFormat="1" ht="15.75">
      <c r="G235" s="89"/>
      <c r="H235" s="89"/>
      <c r="I235" s="89"/>
      <c r="J235" s="89"/>
      <c r="K235" s="89"/>
      <c r="L235" s="89"/>
    </row>
    <row r="236" spans="7:12" s="447" customFormat="1" ht="15.75">
      <c r="G236" s="89"/>
      <c r="H236" s="89"/>
      <c r="I236" s="89"/>
      <c r="J236" s="89"/>
      <c r="K236" s="89"/>
      <c r="L236" s="89"/>
    </row>
    <row r="237" spans="7:12" s="447" customFormat="1" ht="15.75">
      <c r="G237" s="89"/>
      <c r="H237" s="89"/>
      <c r="I237" s="89"/>
      <c r="J237" s="89"/>
      <c r="K237" s="89"/>
      <c r="L237" s="89"/>
    </row>
    <row r="238" spans="7:12" s="447" customFormat="1" ht="15.75">
      <c r="G238" s="89"/>
      <c r="H238" s="89"/>
      <c r="I238" s="89"/>
      <c r="J238" s="89"/>
      <c r="K238" s="89"/>
      <c r="L238" s="89"/>
    </row>
    <row r="239" spans="7:12" s="447" customFormat="1" ht="15.75">
      <c r="G239" s="89"/>
      <c r="H239" s="89"/>
      <c r="I239" s="89"/>
      <c r="J239" s="89"/>
      <c r="K239" s="89"/>
      <c r="L239" s="89"/>
    </row>
    <row r="240" spans="7:12" s="447" customFormat="1" ht="15.75">
      <c r="G240" s="89"/>
      <c r="H240" s="89"/>
      <c r="I240" s="89"/>
      <c r="J240" s="89"/>
      <c r="K240" s="89"/>
      <c r="L240" s="89"/>
    </row>
    <row r="241" spans="7:12" s="447" customFormat="1" ht="15.75">
      <c r="G241" s="89"/>
      <c r="H241" s="89"/>
      <c r="I241" s="89"/>
      <c r="J241" s="89"/>
      <c r="K241" s="89"/>
      <c r="L241" s="89"/>
    </row>
    <row r="242" spans="7:12" s="447" customFormat="1" ht="15.75">
      <c r="G242" s="89"/>
      <c r="H242" s="89"/>
      <c r="I242" s="89"/>
      <c r="J242" s="89"/>
      <c r="K242" s="89"/>
      <c r="L242" s="89"/>
    </row>
    <row r="243" spans="7:12" s="447" customFormat="1" ht="15.75">
      <c r="G243" s="89"/>
      <c r="H243" s="89"/>
      <c r="I243" s="89"/>
      <c r="J243" s="89"/>
      <c r="K243" s="89"/>
      <c r="L243" s="89"/>
    </row>
    <row r="244" spans="7:12" s="447" customFormat="1" ht="15.75">
      <c r="G244" s="89"/>
      <c r="H244" s="89"/>
      <c r="I244" s="89"/>
      <c r="J244" s="89"/>
      <c r="K244" s="89"/>
      <c r="L244" s="89"/>
    </row>
    <row r="245" spans="7:12" s="447" customFormat="1" ht="15.75">
      <c r="G245" s="89"/>
      <c r="H245" s="89"/>
      <c r="I245" s="89"/>
      <c r="J245" s="89"/>
      <c r="K245" s="89"/>
      <c r="L245" s="89"/>
    </row>
    <row r="246" spans="7:12" s="447" customFormat="1" ht="15.75">
      <c r="G246" s="89"/>
      <c r="H246" s="89"/>
      <c r="I246" s="89"/>
      <c r="J246" s="89"/>
      <c r="K246" s="89"/>
      <c r="L246" s="89"/>
    </row>
    <row r="247" spans="7:12" s="447" customFormat="1" ht="15.75">
      <c r="G247" s="89"/>
      <c r="H247" s="89"/>
      <c r="I247" s="89"/>
      <c r="J247" s="89"/>
      <c r="K247" s="89"/>
      <c r="L247" s="89"/>
    </row>
    <row r="248" spans="7:12" s="447" customFormat="1" ht="15.75">
      <c r="G248" s="89"/>
      <c r="H248" s="89"/>
      <c r="I248" s="89"/>
      <c r="J248" s="89"/>
      <c r="K248" s="89"/>
      <c r="L248" s="89"/>
    </row>
    <row r="249" spans="7:12" s="447" customFormat="1" ht="15.75">
      <c r="G249" s="89"/>
      <c r="H249" s="89"/>
      <c r="I249" s="89"/>
      <c r="J249" s="89"/>
      <c r="K249" s="89"/>
      <c r="L249" s="89"/>
    </row>
    <row r="250" spans="7:12" s="447" customFormat="1" ht="15.75">
      <c r="G250" s="89"/>
      <c r="H250" s="89"/>
      <c r="I250" s="89"/>
      <c r="J250" s="89"/>
      <c r="K250" s="89"/>
      <c r="L250" s="89"/>
    </row>
    <row r="251" spans="7:12" s="447" customFormat="1" ht="15.75">
      <c r="G251" s="89"/>
      <c r="H251" s="89"/>
      <c r="I251" s="89"/>
      <c r="J251" s="89"/>
      <c r="K251" s="89"/>
      <c r="L251" s="89"/>
    </row>
    <row r="252" spans="7:12" s="447" customFormat="1" ht="15.75">
      <c r="G252" s="89"/>
      <c r="H252" s="89"/>
      <c r="I252" s="89"/>
      <c r="J252" s="89"/>
      <c r="K252" s="89"/>
      <c r="L252" s="89"/>
    </row>
    <row r="253" spans="7:12" s="447" customFormat="1" ht="15.75">
      <c r="G253" s="89"/>
      <c r="H253" s="89"/>
      <c r="I253" s="89"/>
      <c r="J253" s="89"/>
      <c r="K253" s="89"/>
      <c r="L253" s="89"/>
    </row>
    <row r="254" spans="7:12" s="447" customFormat="1" ht="15.75">
      <c r="G254" s="89"/>
      <c r="H254" s="89"/>
      <c r="I254" s="89"/>
      <c r="J254" s="89"/>
      <c r="K254" s="89"/>
      <c r="L254" s="89"/>
    </row>
    <row r="255" spans="7:12" s="447" customFormat="1" ht="15.75">
      <c r="G255" s="89"/>
      <c r="H255" s="89"/>
      <c r="I255" s="89"/>
      <c r="J255" s="89"/>
      <c r="K255" s="89"/>
      <c r="L255" s="89"/>
    </row>
    <row r="256" spans="7:12" s="447" customFormat="1" ht="15.75">
      <c r="G256" s="89"/>
      <c r="H256" s="89"/>
      <c r="I256" s="89"/>
      <c r="J256" s="89"/>
      <c r="K256" s="89"/>
      <c r="L256" s="89"/>
    </row>
    <row r="257" spans="7:12" s="447" customFormat="1" ht="15.75">
      <c r="G257" s="89"/>
      <c r="H257" s="89"/>
      <c r="I257" s="89"/>
      <c r="J257" s="89"/>
      <c r="K257" s="89"/>
      <c r="L257" s="89"/>
    </row>
    <row r="258" spans="7:12" s="447" customFormat="1" ht="15.75">
      <c r="G258" s="89"/>
      <c r="H258" s="89"/>
      <c r="I258" s="89"/>
      <c r="J258" s="89"/>
      <c r="K258" s="89"/>
      <c r="L258" s="89"/>
    </row>
    <row r="259" spans="7:12" s="447" customFormat="1" ht="15.75">
      <c r="G259" s="89"/>
      <c r="H259" s="89"/>
      <c r="I259" s="89"/>
      <c r="J259" s="89"/>
      <c r="K259" s="89"/>
      <c r="L259" s="89"/>
    </row>
    <row r="260" spans="7:12" s="447" customFormat="1" ht="15.75">
      <c r="G260" s="89"/>
      <c r="H260" s="89"/>
      <c r="I260" s="89"/>
      <c r="J260" s="89"/>
      <c r="K260" s="89"/>
      <c r="L260" s="89"/>
    </row>
    <row r="261" spans="7:12" s="447" customFormat="1" ht="15.75">
      <c r="G261" s="89"/>
      <c r="H261" s="89"/>
      <c r="I261" s="89"/>
      <c r="J261" s="89"/>
      <c r="K261" s="89"/>
      <c r="L261" s="89"/>
    </row>
    <row r="262" spans="7:12" s="447" customFormat="1" ht="15.75">
      <c r="G262" s="89"/>
      <c r="H262" s="89"/>
      <c r="I262" s="89"/>
      <c r="J262" s="89"/>
      <c r="K262" s="89"/>
      <c r="L262" s="89"/>
    </row>
    <row r="263" spans="7:12" s="447" customFormat="1" ht="15.75">
      <c r="G263" s="89"/>
      <c r="H263" s="89"/>
      <c r="I263" s="89"/>
      <c r="J263" s="89"/>
      <c r="K263" s="89"/>
      <c r="L263" s="89"/>
    </row>
    <row r="264" spans="7:12" s="447" customFormat="1" ht="15.75">
      <c r="G264" s="89"/>
      <c r="H264" s="89"/>
      <c r="I264" s="89"/>
      <c r="J264" s="89"/>
      <c r="K264" s="89"/>
      <c r="L264" s="89"/>
    </row>
    <row r="265" spans="7:12" s="447" customFormat="1" ht="15.75">
      <c r="G265" s="89"/>
      <c r="H265" s="89"/>
      <c r="I265" s="89"/>
      <c r="J265" s="89"/>
      <c r="K265" s="89"/>
      <c r="L265" s="89"/>
    </row>
    <row r="266" spans="7:12" s="447" customFormat="1" ht="15.75">
      <c r="G266" s="89"/>
      <c r="H266" s="89"/>
      <c r="I266" s="89"/>
      <c r="J266" s="89"/>
      <c r="K266" s="89"/>
      <c r="L266" s="89"/>
    </row>
    <row r="267" spans="7:12" s="447" customFormat="1" ht="15.75">
      <c r="G267" s="89"/>
      <c r="H267" s="89"/>
      <c r="I267" s="89"/>
      <c r="J267" s="89"/>
      <c r="K267" s="89"/>
      <c r="L267" s="89"/>
    </row>
    <row r="268" spans="7:12" s="447" customFormat="1" ht="15.75">
      <c r="G268" s="89"/>
      <c r="H268" s="89"/>
      <c r="I268" s="89"/>
      <c r="J268" s="89"/>
      <c r="K268" s="89"/>
      <c r="L268" s="89"/>
    </row>
    <row r="270" spans="7:12" s="447" customFormat="1" ht="15.75">
      <c r="G270" s="89"/>
      <c r="H270" s="89"/>
      <c r="I270" s="89"/>
      <c r="J270" s="89"/>
      <c r="K270" s="89"/>
      <c r="L270" s="89"/>
    </row>
    <row r="271" spans="7:12" s="447" customFormat="1" ht="15.75">
      <c r="G271" s="89"/>
      <c r="H271" s="89"/>
      <c r="I271" s="89"/>
      <c r="J271" s="89"/>
      <c r="K271" s="89"/>
      <c r="L271" s="89"/>
    </row>
  </sheetData>
  <autoFilter ref="A3:G118" xr:uid="{00000000-0009-0000-0000-00000B000000}">
    <filterColumn colId="4" showButton="0"/>
    <filterColumn colId="5" showButton="0"/>
  </autoFilter>
  <mergeCells count="7">
    <mergeCell ref="A1:F1"/>
    <mergeCell ref="A3:A4"/>
    <mergeCell ref="B3:B4"/>
    <mergeCell ref="C3:C4"/>
    <mergeCell ref="D3:D4"/>
    <mergeCell ref="E3:F3"/>
    <mergeCell ref="A2:F2"/>
  </mergeCells>
  <printOptions horizontalCentered="1"/>
  <pageMargins left="0" right="0" top="0.39370078740157483" bottom="0.55118110236220474" header="0" footer="0"/>
  <pageSetup paperSize="9" scale="74" firstPageNumber="15" fitToHeight="100" orientation="portrait" useFirstPageNumber="1" r:id="rId1"/>
  <headerFooter>
    <oddFooter>&amp;C&amp;"B Titr,Bold"&amp;12 &amp;24 &amp;20&amp;P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73"/>
  <sheetViews>
    <sheetView rightToLeft="1" view="pageBreakPreview" zoomScale="70" zoomScaleNormal="110" zoomScaleSheetLayoutView="70" workbookViewId="0">
      <pane ySplit="4" topLeftCell="A17" activePane="bottomLeft" state="frozen"/>
      <selection activeCell="I16" sqref="I16"/>
      <selection pane="bottomLeft" activeCell="I16" sqref="I16"/>
    </sheetView>
  </sheetViews>
  <sheetFormatPr defaultColWidth="9" defaultRowHeight="18.75"/>
  <cols>
    <col min="1" max="1" width="33.5703125" style="474" bestFit="1" customWidth="1"/>
    <col min="2" max="2" width="41.42578125" style="447" bestFit="1" customWidth="1"/>
    <col min="3" max="3" width="9" style="447" customWidth="1"/>
    <col min="4" max="4" width="19.5703125" style="447" customWidth="1"/>
    <col min="5" max="5" width="15.28515625" style="472" bestFit="1" customWidth="1"/>
    <col min="6" max="6" width="16" style="447" bestFit="1" customWidth="1"/>
    <col min="7" max="7" width="11.85546875" style="89" bestFit="1" customWidth="1"/>
    <col min="8" max="8" width="9" style="89"/>
    <col min="9" max="9" width="9.42578125" style="89" bestFit="1" customWidth="1"/>
    <col min="10" max="16384" width="9" style="89"/>
  </cols>
  <sheetData>
    <row r="1" spans="1:6" ht="52.5" customHeight="1">
      <c r="A1" s="833" t="s">
        <v>856</v>
      </c>
      <c r="B1" s="833"/>
      <c r="C1" s="833"/>
      <c r="D1" s="833"/>
      <c r="E1" s="833"/>
      <c r="F1" s="833"/>
    </row>
    <row r="2" spans="1:6" ht="49.5" customHeight="1">
      <c r="A2" s="833" t="s">
        <v>857</v>
      </c>
      <c r="B2" s="833"/>
      <c r="C2" s="833"/>
      <c r="D2" s="833"/>
      <c r="E2" s="833"/>
      <c r="F2" s="833"/>
    </row>
    <row r="3" spans="1:6" s="117" customFormat="1" ht="22.5" customHeight="1">
      <c r="A3" s="845" t="s">
        <v>444</v>
      </c>
      <c r="B3" s="846" t="s">
        <v>445</v>
      </c>
      <c r="C3" s="846" t="s">
        <v>446</v>
      </c>
      <c r="D3" s="847" t="s">
        <v>479</v>
      </c>
      <c r="E3" s="847" t="s">
        <v>448</v>
      </c>
      <c r="F3" s="847"/>
    </row>
    <row r="4" spans="1:6" s="117" customFormat="1" ht="22.5">
      <c r="A4" s="845"/>
      <c r="B4" s="846"/>
      <c r="C4" s="846"/>
      <c r="D4" s="847"/>
      <c r="E4" s="470" t="s">
        <v>449</v>
      </c>
      <c r="F4" s="470" t="s">
        <v>111</v>
      </c>
    </row>
    <row r="5" spans="1:6" s="118" customFormat="1" ht="27.75" customHeight="1">
      <c r="A5" s="477" t="s">
        <v>769</v>
      </c>
      <c r="B5" s="477" t="s">
        <v>765</v>
      </c>
      <c r="C5" s="476">
        <v>1398</v>
      </c>
      <c r="D5" s="475" t="s">
        <v>764</v>
      </c>
      <c r="E5" s="475"/>
      <c r="F5" s="475">
        <v>15980000</v>
      </c>
    </row>
    <row r="6" spans="1:6" s="118" customFormat="1" ht="27.75" customHeight="1">
      <c r="A6" s="477" t="s">
        <v>564</v>
      </c>
      <c r="B6" s="477" t="s">
        <v>765</v>
      </c>
      <c r="C6" s="476">
        <v>1398</v>
      </c>
      <c r="D6" s="475" t="s">
        <v>764</v>
      </c>
      <c r="E6" s="475"/>
      <c r="F6" s="475">
        <v>10000000</v>
      </c>
    </row>
    <row r="7" spans="1:6" s="118" customFormat="1" ht="27.75" customHeight="1">
      <c r="A7" s="477" t="s">
        <v>768</v>
      </c>
      <c r="B7" s="477" t="s">
        <v>765</v>
      </c>
      <c r="C7" s="476">
        <v>1398</v>
      </c>
      <c r="D7" s="475" t="s">
        <v>764</v>
      </c>
      <c r="E7" s="475"/>
      <c r="F7" s="475">
        <v>70000000</v>
      </c>
    </row>
    <row r="8" spans="1:6" s="118" customFormat="1" ht="27.75" customHeight="1">
      <c r="A8" s="477" t="s">
        <v>598</v>
      </c>
      <c r="B8" s="476" t="s">
        <v>766</v>
      </c>
      <c r="C8" s="476">
        <v>1398</v>
      </c>
      <c r="D8" s="475" t="s">
        <v>764</v>
      </c>
      <c r="E8" s="475"/>
      <c r="F8" s="475">
        <v>36720000</v>
      </c>
    </row>
    <row r="9" spans="1:6" s="118" customFormat="1" ht="27.75" customHeight="1">
      <c r="A9" s="477" t="s">
        <v>825</v>
      </c>
      <c r="B9" s="477" t="s">
        <v>765</v>
      </c>
      <c r="C9" s="476">
        <v>1398</v>
      </c>
      <c r="D9" s="475" t="s">
        <v>764</v>
      </c>
      <c r="E9" s="475"/>
      <c r="F9" s="475">
        <v>253259914</v>
      </c>
    </row>
    <row r="10" spans="1:6" s="118" customFormat="1" ht="27.75" customHeight="1">
      <c r="A10" s="481" t="s">
        <v>480</v>
      </c>
      <c r="B10" s="483"/>
      <c r="C10" s="483"/>
      <c r="D10" s="483"/>
      <c r="E10" s="482">
        <f>SUM(E5:E9)</f>
        <v>0</v>
      </c>
      <c r="F10" s="482">
        <f>SUM(F5:F9)</f>
        <v>385959914</v>
      </c>
    </row>
    <row r="11" spans="1:6" s="118" customFormat="1" ht="27.75" customHeight="1">
      <c r="A11" s="477" t="s">
        <v>743</v>
      </c>
      <c r="B11" s="477" t="s">
        <v>568</v>
      </c>
      <c r="C11" s="476">
        <v>1398</v>
      </c>
      <c r="D11" s="475" t="s">
        <v>764</v>
      </c>
      <c r="E11" s="475">
        <v>10000000</v>
      </c>
      <c r="F11" s="475"/>
    </row>
    <row r="12" spans="1:6" s="118" customFormat="1" ht="27.75" customHeight="1">
      <c r="A12" s="477" t="s">
        <v>744</v>
      </c>
      <c r="B12" s="477" t="s">
        <v>568</v>
      </c>
      <c r="C12" s="476">
        <v>1398</v>
      </c>
      <c r="D12" s="475" t="s">
        <v>764</v>
      </c>
      <c r="E12" s="475">
        <v>10000000</v>
      </c>
      <c r="F12" s="475"/>
    </row>
    <row r="13" spans="1:6" s="118" customFormat="1" ht="27.75" customHeight="1">
      <c r="A13" s="477" t="s">
        <v>745</v>
      </c>
      <c r="B13" s="477" t="s">
        <v>568</v>
      </c>
      <c r="C13" s="476">
        <v>1398</v>
      </c>
      <c r="D13" s="475" t="s">
        <v>764</v>
      </c>
      <c r="E13" s="475">
        <v>10000000</v>
      </c>
      <c r="F13" s="475"/>
    </row>
    <row r="14" spans="1:6" s="118" customFormat="1" ht="27.75" customHeight="1">
      <c r="A14" s="477" t="s">
        <v>746</v>
      </c>
      <c r="B14" s="477" t="s">
        <v>568</v>
      </c>
      <c r="C14" s="476">
        <v>1398</v>
      </c>
      <c r="D14" s="475" t="s">
        <v>764</v>
      </c>
      <c r="E14" s="475">
        <v>10000000</v>
      </c>
      <c r="F14" s="475"/>
    </row>
    <row r="15" spans="1:6" s="118" customFormat="1" ht="27.75" customHeight="1">
      <c r="A15" s="477" t="s">
        <v>747</v>
      </c>
      <c r="B15" s="477" t="s">
        <v>568</v>
      </c>
      <c r="C15" s="476">
        <v>1398</v>
      </c>
      <c r="D15" s="475" t="s">
        <v>764</v>
      </c>
      <c r="E15" s="475">
        <v>10000000</v>
      </c>
      <c r="F15" s="475"/>
    </row>
    <row r="16" spans="1:6" s="118" customFormat="1" ht="27.75" customHeight="1">
      <c r="A16" s="477" t="s">
        <v>748</v>
      </c>
      <c r="B16" s="477" t="s">
        <v>568</v>
      </c>
      <c r="C16" s="476">
        <v>1398</v>
      </c>
      <c r="D16" s="475" t="s">
        <v>764</v>
      </c>
      <c r="E16" s="475">
        <v>10000000</v>
      </c>
      <c r="F16" s="475"/>
    </row>
    <row r="17" spans="1:6" s="118" customFormat="1" ht="27.75" customHeight="1">
      <c r="A17" s="477" t="s">
        <v>741</v>
      </c>
      <c r="B17" s="477" t="s">
        <v>568</v>
      </c>
      <c r="C17" s="476">
        <v>1398</v>
      </c>
      <c r="D17" s="475" t="s">
        <v>764</v>
      </c>
      <c r="E17" s="475">
        <v>12500000</v>
      </c>
      <c r="F17" s="475"/>
    </row>
    <row r="18" spans="1:6" s="118" customFormat="1" ht="27.75" customHeight="1">
      <c r="A18" s="477" t="s">
        <v>736</v>
      </c>
      <c r="B18" s="477" t="s">
        <v>568</v>
      </c>
      <c r="C18" s="476">
        <v>1398</v>
      </c>
      <c r="D18" s="475" t="s">
        <v>764</v>
      </c>
      <c r="E18" s="475">
        <v>15000000</v>
      </c>
      <c r="F18" s="475"/>
    </row>
    <row r="19" spans="1:6" s="118" customFormat="1" ht="27.75" customHeight="1">
      <c r="A19" s="477" t="s">
        <v>737</v>
      </c>
      <c r="B19" s="477" t="s">
        <v>568</v>
      </c>
      <c r="C19" s="476">
        <v>1398</v>
      </c>
      <c r="D19" s="475" t="s">
        <v>764</v>
      </c>
      <c r="E19" s="475">
        <v>15000000</v>
      </c>
      <c r="F19" s="475"/>
    </row>
    <row r="20" spans="1:6" s="118" customFormat="1" ht="27.75" customHeight="1">
      <c r="A20" s="477" t="s">
        <v>742</v>
      </c>
      <c r="B20" s="477" t="s">
        <v>568</v>
      </c>
      <c r="C20" s="476">
        <v>1398</v>
      </c>
      <c r="D20" s="475" t="s">
        <v>764</v>
      </c>
      <c r="E20" s="475">
        <v>12500000</v>
      </c>
      <c r="F20" s="475"/>
    </row>
    <row r="21" spans="1:6" s="118" customFormat="1" ht="27.75" customHeight="1">
      <c r="A21" s="477" t="s">
        <v>749</v>
      </c>
      <c r="B21" s="477" t="s">
        <v>568</v>
      </c>
      <c r="C21" s="476">
        <v>1398</v>
      </c>
      <c r="D21" s="475" t="s">
        <v>764</v>
      </c>
      <c r="E21" s="475">
        <v>10000000</v>
      </c>
      <c r="F21" s="475"/>
    </row>
    <row r="22" spans="1:6" s="118" customFormat="1" ht="27.75" customHeight="1">
      <c r="A22" s="477" t="s">
        <v>738</v>
      </c>
      <c r="B22" s="477" t="s">
        <v>568</v>
      </c>
      <c r="C22" s="476">
        <v>1398</v>
      </c>
      <c r="D22" s="475" t="s">
        <v>764</v>
      </c>
      <c r="E22" s="475">
        <v>15000000</v>
      </c>
      <c r="F22" s="475"/>
    </row>
    <row r="23" spans="1:6" s="118" customFormat="1" ht="27.75" customHeight="1">
      <c r="A23" s="477" t="s">
        <v>739</v>
      </c>
      <c r="B23" s="477" t="s">
        <v>568</v>
      </c>
      <c r="C23" s="476">
        <v>1398</v>
      </c>
      <c r="D23" s="475" t="s">
        <v>764</v>
      </c>
      <c r="E23" s="475">
        <v>15000000</v>
      </c>
      <c r="F23" s="475"/>
    </row>
    <row r="24" spans="1:6" s="118" customFormat="1" ht="27.75" customHeight="1">
      <c r="A24" s="477" t="s">
        <v>740</v>
      </c>
      <c r="B24" s="477" t="s">
        <v>568</v>
      </c>
      <c r="C24" s="476">
        <v>1398</v>
      </c>
      <c r="D24" s="475" t="s">
        <v>764</v>
      </c>
      <c r="E24" s="475">
        <v>15000000</v>
      </c>
      <c r="F24" s="475"/>
    </row>
    <row r="25" spans="1:6" s="118" customFormat="1" ht="27.75" customHeight="1">
      <c r="A25" s="477" t="s">
        <v>735</v>
      </c>
      <c r="B25" s="477" t="s">
        <v>572</v>
      </c>
      <c r="C25" s="476">
        <v>1398</v>
      </c>
      <c r="D25" s="475" t="s">
        <v>764</v>
      </c>
      <c r="E25" s="475">
        <v>252000000</v>
      </c>
      <c r="F25" s="475"/>
    </row>
    <row r="26" spans="1:6" s="119" customFormat="1" ht="27.75" customHeight="1">
      <c r="A26" s="481" t="s">
        <v>481</v>
      </c>
      <c r="B26" s="483"/>
      <c r="C26" s="483"/>
      <c r="D26" s="483"/>
      <c r="E26" s="482">
        <f>SUM(E11:E25)</f>
        <v>422000000</v>
      </c>
      <c r="F26" s="482">
        <f>SUM(F11:F25)</f>
        <v>0</v>
      </c>
    </row>
    <row r="27" spans="1:6" s="118" customFormat="1" ht="27.75" customHeight="1">
      <c r="A27" s="481" t="s">
        <v>458</v>
      </c>
      <c r="B27" s="480"/>
      <c r="C27" s="480"/>
      <c r="D27" s="480"/>
      <c r="E27" s="482">
        <f>E26+E10</f>
        <v>422000000</v>
      </c>
      <c r="F27" s="482">
        <f>F26+F10</f>
        <v>385959914</v>
      </c>
    </row>
    <row r="28" spans="1:6" s="118" customFormat="1" ht="27.75" customHeight="1">
      <c r="A28" s="477" t="s">
        <v>763</v>
      </c>
      <c r="B28" s="477" t="s">
        <v>570</v>
      </c>
      <c r="C28" s="476">
        <v>1398</v>
      </c>
      <c r="D28" s="475" t="s">
        <v>762</v>
      </c>
      <c r="E28" s="475">
        <v>477600000</v>
      </c>
      <c r="F28" s="475"/>
    </row>
    <row r="29" spans="1:6" s="119" customFormat="1" ht="27.75" customHeight="1">
      <c r="A29" s="481" t="s">
        <v>575</v>
      </c>
      <c r="B29" s="483"/>
      <c r="C29" s="483"/>
      <c r="D29" s="483"/>
      <c r="E29" s="482">
        <f>SUM(E28:E28)</f>
        <v>477600000</v>
      </c>
      <c r="F29" s="482">
        <f>SUM(F28:F28)</f>
        <v>0</v>
      </c>
    </row>
    <row r="30" spans="1:6" ht="27.75" customHeight="1">
      <c r="A30" s="477" t="s">
        <v>574</v>
      </c>
      <c r="B30" s="477" t="s">
        <v>570</v>
      </c>
      <c r="C30" s="476">
        <v>1398</v>
      </c>
      <c r="D30" s="475" t="s">
        <v>762</v>
      </c>
      <c r="E30" s="475"/>
      <c r="F30" s="475">
        <v>60000000</v>
      </c>
    </row>
    <row r="31" spans="1:6" ht="27.75" customHeight="1">
      <c r="A31" s="477" t="s">
        <v>577</v>
      </c>
      <c r="B31" s="477" t="s">
        <v>570</v>
      </c>
      <c r="C31" s="476">
        <v>1398</v>
      </c>
      <c r="D31" s="475" t="s">
        <v>762</v>
      </c>
      <c r="E31" s="475"/>
      <c r="F31" s="475">
        <v>139408129</v>
      </c>
    </row>
    <row r="32" spans="1:6" s="122" customFormat="1" ht="27.75" customHeight="1">
      <c r="A32" s="481" t="s">
        <v>482</v>
      </c>
      <c r="B32" s="483"/>
      <c r="C32" s="483"/>
      <c r="D32" s="483"/>
      <c r="E32" s="480">
        <f>SUM(E30:E31)</f>
        <v>0</v>
      </c>
      <c r="F32" s="480">
        <f>SUM(F30:F31)</f>
        <v>199408129</v>
      </c>
    </row>
    <row r="33" spans="1:6" s="122" customFormat="1" ht="27.75" customHeight="1">
      <c r="A33" s="481" t="s">
        <v>468</v>
      </c>
      <c r="B33" s="480"/>
      <c r="C33" s="480"/>
      <c r="D33" s="480"/>
      <c r="E33" s="482">
        <f>E32+E29</f>
        <v>477600000</v>
      </c>
      <c r="F33" s="482">
        <f>F32+F29</f>
        <v>199408129</v>
      </c>
    </row>
    <row r="34" spans="1:6" s="122" customFormat="1" ht="27.75" customHeight="1">
      <c r="A34" s="481" t="s">
        <v>483</v>
      </c>
      <c r="B34" s="480"/>
      <c r="C34" s="480"/>
      <c r="D34" s="480"/>
      <c r="E34" s="482">
        <f>E33+E27</f>
        <v>899600000</v>
      </c>
      <c r="F34" s="482">
        <f>F33+F27</f>
        <v>585368043</v>
      </c>
    </row>
    <row r="35" spans="1:6" s="122" customFormat="1" ht="27.75" customHeight="1">
      <c r="A35" s="481" t="s">
        <v>478</v>
      </c>
      <c r="B35" s="480"/>
      <c r="C35" s="480"/>
      <c r="D35" s="480"/>
      <c r="E35" s="482">
        <f>'مانده پرداختهای غیر قطعی سن'!E41</f>
        <v>603234359</v>
      </c>
      <c r="F35" s="482">
        <f>'مانده پرداختهای غیر قطعی سن'!F41</f>
        <v>488235080</v>
      </c>
    </row>
    <row r="36" spans="1:6" s="122" customFormat="1" ht="33" customHeight="1" thickBot="1">
      <c r="A36" s="481" t="s">
        <v>484</v>
      </c>
      <c r="B36" s="480"/>
      <c r="C36" s="480"/>
      <c r="D36" s="480"/>
      <c r="E36" s="479">
        <f>E35+E34</f>
        <v>1502834359</v>
      </c>
      <c r="F36" s="479">
        <f>F35+F34</f>
        <v>1073603123</v>
      </c>
    </row>
    <row r="37" spans="1:6" s="122" customFormat="1" ht="20.25" thickTop="1">
      <c r="A37" s="474"/>
      <c r="B37" s="447"/>
      <c r="C37" s="447"/>
      <c r="D37" s="447"/>
      <c r="E37" s="472"/>
      <c r="F37" s="447"/>
    </row>
    <row r="38" spans="1:6" s="122" customFormat="1" ht="19.5">
      <c r="A38" s="474"/>
      <c r="B38" s="447"/>
      <c r="C38" s="447"/>
      <c r="D38" s="447"/>
      <c r="E38" s="472"/>
      <c r="F38" s="447"/>
    </row>
    <row r="39" spans="1:6" s="122" customFormat="1" ht="19.5">
      <c r="A39" s="474"/>
      <c r="B39" s="447"/>
      <c r="C39" s="447"/>
      <c r="D39" s="447"/>
      <c r="E39" s="472"/>
      <c r="F39" s="447"/>
    </row>
    <row r="40" spans="1:6" s="122" customFormat="1" ht="19.5">
      <c r="A40" s="474"/>
      <c r="B40" s="447"/>
      <c r="C40" s="447"/>
      <c r="D40" s="447"/>
      <c r="E40" s="472"/>
      <c r="F40" s="447"/>
    </row>
    <row r="41" spans="1:6" s="122" customFormat="1" ht="19.5">
      <c r="A41" s="474"/>
      <c r="B41" s="447"/>
      <c r="C41" s="447"/>
      <c r="D41" s="447"/>
      <c r="E41" s="472"/>
      <c r="F41" s="447"/>
    </row>
    <row r="42" spans="1:6" s="122" customFormat="1" ht="19.5">
      <c r="A42" s="474"/>
      <c r="B42" s="447"/>
      <c r="C42" s="447"/>
      <c r="D42" s="447"/>
      <c r="E42" s="472"/>
      <c r="F42" s="447"/>
    </row>
    <row r="43" spans="1:6" s="122" customFormat="1" ht="19.5">
      <c r="A43" s="474"/>
      <c r="B43" s="447"/>
      <c r="C43" s="447"/>
      <c r="D43" s="447"/>
      <c r="E43" s="472"/>
      <c r="F43" s="447"/>
    </row>
    <row r="44" spans="1:6" s="122" customFormat="1" ht="19.5">
      <c r="A44" s="474"/>
      <c r="B44" s="447"/>
      <c r="C44" s="447"/>
      <c r="D44" s="447"/>
      <c r="E44" s="472"/>
      <c r="F44" s="447"/>
    </row>
    <row r="45" spans="1:6" s="122" customFormat="1" ht="19.5">
      <c r="A45" s="474"/>
      <c r="B45" s="447"/>
      <c r="C45" s="447"/>
      <c r="D45" s="447"/>
      <c r="E45" s="472"/>
      <c r="F45" s="447"/>
    </row>
    <row r="46" spans="1:6" s="122" customFormat="1" ht="19.5">
      <c r="A46" s="474"/>
      <c r="B46" s="447"/>
      <c r="C46" s="447"/>
      <c r="D46" s="447"/>
      <c r="E46" s="472"/>
      <c r="F46" s="447"/>
    </row>
    <row r="47" spans="1:6" s="122" customFormat="1" ht="19.5">
      <c r="A47" s="474"/>
      <c r="B47" s="447"/>
      <c r="C47" s="447"/>
      <c r="D47" s="447"/>
      <c r="E47" s="472"/>
      <c r="F47" s="447"/>
    </row>
    <row r="48" spans="1:6" s="122" customFormat="1" ht="19.5">
      <c r="A48" s="474"/>
      <c r="B48" s="447"/>
      <c r="C48" s="447"/>
      <c r="D48" s="447"/>
      <c r="E48" s="472"/>
      <c r="F48" s="447"/>
    </row>
    <row r="49" spans="1:6" s="122" customFormat="1" ht="19.5">
      <c r="A49" s="474"/>
      <c r="B49" s="447"/>
      <c r="C49" s="447"/>
      <c r="D49" s="447"/>
      <c r="E49" s="472"/>
      <c r="F49" s="447"/>
    </row>
    <row r="50" spans="1:6" s="122" customFormat="1" ht="19.5">
      <c r="A50" s="474"/>
      <c r="B50" s="447"/>
      <c r="C50" s="447"/>
      <c r="D50" s="447"/>
      <c r="E50" s="472"/>
      <c r="F50" s="447"/>
    </row>
    <row r="51" spans="1:6" s="122" customFormat="1" ht="19.5">
      <c r="A51" s="474"/>
      <c r="B51" s="447"/>
      <c r="C51" s="447"/>
      <c r="D51" s="447"/>
      <c r="E51" s="472"/>
      <c r="F51" s="447"/>
    </row>
    <row r="52" spans="1:6" s="122" customFormat="1" ht="19.5">
      <c r="A52" s="474"/>
      <c r="B52" s="447"/>
      <c r="C52" s="447"/>
      <c r="D52" s="447"/>
      <c r="E52" s="472"/>
      <c r="F52" s="447"/>
    </row>
    <row r="53" spans="1:6" s="122" customFormat="1" ht="19.5">
      <c r="A53" s="474"/>
      <c r="B53" s="447"/>
      <c r="C53" s="447"/>
      <c r="D53" s="447"/>
      <c r="E53" s="472"/>
      <c r="F53" s="447"/>
    </row>
    <row r="54" spans="1:6" s="122" customFormat="1" ht="19.5">
      <c r="A54" s="474"/>
      <c r="B54" s="447"/>
      <c r="C54" s="447"/>
      <c r="D54" s="447"/>
      <c r="E54" s="472"/>
      <c r="F54" s="447"/>
    </row>
    <row r="55" spans="1:6" s="122" customFormat="1" ht="19.5">
      <c r="A55" s="474"/>
      <c r="B55" s="447"/>
      <c r="C55" s="447"/>
      <c r="D55" s="447"/>
      <c r="E55" s="472"/>
      <c r="F55" s="447"/>
    </row>
    <row r="56" spans="1:6" s="122" customFormat="1" ht="19.5">
      <c r="A56" s="474"/>
      <c r="B56" s="447"/>
      <c r="C56" s="447"/>
      <c r="D56" s="447"/>
      <c r="E56" s="472"/>
      <c r="F56" s="447"/>
    </row>
    <row r="57" spans="1:6" s="122" customFormat="1" ht="19.5">
      <c r="A57" s="474"/>
      <c r="B57" s="447"/>
      <c r="C57" s="447"/>
      <c r="D57" s="447"/>
      <c r="E57" s="472"/>
      <c r="F57" s="447"/>
    </row>
    <row r="58" spans="1:6" s="122" customFormat="1" ht="19.5">
      <c r="A58" s="474"/>
      <c r="B58" s="447"/>
      <c r="C58" s="447"/>
      <c r="D58" s="447"/>
      <c r="E58" s="472"/>
      <c r="F58" s="447"/>
    </row>
    <row r="59" spans="1:6" s="122" customFormat="1" ht="19.5">
      <c r="A59" s="474"/>
      <c r="B59" s="447"/>
      <c r="C59" s="447"/>
      <c r="D59" s="447"/>
      <c r="E59" s="472"/>
      <c r="F59" s="447"/>
    </row>
    <row r="60" spans="1:6" s="122" customFormat="1" ht="19.5">
      <c r="A60" s="474"/>
      <c r="B60" s="447"/>
      <c r="C60" s="447"/>
      <c r="D60" s="447"/>
      <c r="E60" s="472"/>
      <c r="F60" s="447"/>
    </row>
    <row r="61" spans="1:6" s="122" customFormat="1" ht="19.5">
      <c r="A61" s="474"/>
      <c r="B61" s="447"/>
      <c r="C61" s="447"/>
      <c r="D61" s="447"/>
      <c r="E61" s="472"/>
      <c r="F61" s="447"/>
    </row>
    <row r="62" spans="1:6" s="122" customFormat="1" ht="19.5">
      <c r="A62" s="474"/>
      <c r="B62" s="447"/>
      <c r="C62" s="447"/>
      <c r="D62" s="447"/>
      <c r="E62" s="472"/>
      <c r="F62" s="447"/>
    </row>
    <row r="63" spans="1:6" s="122" customFormat="1" ht="19.5">
      <c r="A63" s="474"/>
      <c r="B63" s="447"/>
      <c r="C63" s="447"/>
      <c r="D63" s="447"/>
      <c r="E63" s="472"/>
      <c r="F63" s="447"/>
    </row>
    <row r="64" spans="1:6" s="122" customFormat="1" ht="19.5">
      <c r="A64" s="474"/>
      <c r="B64" s="447"/>
      <c r="C64" s="447"/>
      <c r="D64" s="447"/>
      <c r="E64" s="472"/>
      <c r="F64" s="447"/>
    </row>
    <row r="65" spans="1:6" s="122" customFormat="1" ht="19.5">
      <c r="A65" s="474"/>
      <c r="B65" s="447"/>
      <c r="C65" s="447"/>
      <c r="D65" s="447"/>
      <c r="E65" s="472"/>
      <c r="F65" s="447"/>
    </row>
    <row r="66" spans="1:6" s="122" customFormat="1" ht="19.5">
      <c r="A66" s="474"/>
      <c r="B66" s="447"/>
      <c r="C66" s="447"/>
      <c r="D66" s="447"/>
      <c r="E66" s="472"/>
      <c r="F66" s="447"/>
    </row>
    <row r="67" spans="1:6" s="122" customFormat="1" ht="19.5">
      <c r="A67" s="474"/>
      <c r="B67" s="447"/>
      <c r="C67" s="447"/>
      <c r="D67" s="447"/>
      <c r="E67" s="472"/>
      <c r="F67" s="447"/>
    </row>
    <row r="68" spans="1:6" s="122" customFormat="1" ht="19.5">
      <c r="A68" s="474"/>
      <c r="B68" s="447"/>
      <c r="C68" s="447"/>
      <c r="D68" s="447"/>
      <c r="E68" s="472"/>
      <c r="F68" s="447"/>
    </row>
    <row r="69" spans="1:6" s="122" customFormat="1" ht="19.5">
      <c r="A69" s="474"/>
      <c r="B69" s="447"/>
      <c r="C69" s="447"/>
      <c r="D69" s="447"/>
      <c r="E69" s="472"/>
      <c r="F69" s="447"/>
    </row>
    <row r="70" spans="1:6" s="122" customFormat="1" ht="19.5">
      <c r="A70" s="474"/>
      <c r="B70" s="447"/>
      <c r="C70" s="447"/>
      <c r="D70" s="447"/>
      <c r="E70" s="472"/>
      <c r="F70" s="447"/>
    </row>
    <row r="71" spans="1:6" s="122" customFormat="1" ht="19.5">
      <c r="A71" s="474"/>
      <c r="B71" s="447"/>
      <c r="C71" s="447"/>
      <c r="D71" s="447"/>
      <c r="E71" s="472"/>
      <c r="F71" s="447"/>
    </row>
    <row r="72" spans="1:6" s="122" customFormat="1" ht="19.5">
      <c r="A72" s="474"/>
      <c r="B72" s="447"/>
      <c r="C72" s="447"/>
      <c r="D72" s="447"/>
      <c r="E72" s="472"/>
      <c r="F72" s="447"/>
    </row>
    <row r="73" spans="1:6" s="122" customFormat="1" ht="19.5">
      <c r="A73" s="474"/>
      <c r="B73" s="447"/>
      <c r="C73" s="447"/>
      <c r="D73" s="447"/>
      <c r="E73" s="472"/>
      <c r="F73" s="447"/>
    </row>
    <row r="74" spans="1:6" s="122" customFormat="1" ht="19.5">
      <c r="A74" s="474"/>
      <c r="B74" s="447"/>
      <c r="C74" s="447"/>
      <c r="D74" s="447"/>
      <c r="E74" s="472"/>
      <c r="F74" s="447"/>
    </row>
    <row r="75" spans="1:6" s="122" customFormat="1" ht="19.5">
      <c r="A75" s="474"/>
      <c r="B75" s="447"/>
      <c r="C75" s="447"/>
      <c r="D75" s="447"/>
      <c r="E75" s="472"/>
      <c r="F75" s="447"/>
    </row>
    <row r="76" spans="1:6" s="122" customFormat="1" ht="19.5">
      <c r="A76" s="474"/>
      <c r="B76" s="447"/>
      <c r="C76" s="447"/>
      <c r="D76" s="447"/>
      <c r="E76" s="472"/>
      <c r="F76" s="447"/>
    </row>
    <row r="77" spans="1:6" s="122" customFormat="1" ht="19.5">
      <c r="A77" s="474"/>
      <c r="B77" s="447"/>
      <c r="C77" s="447"/>
      <c r="D77" s="447"/>
      <c r="E77" s="472"/>
      <c r="F77" s="447"/>
    </row>
    <row r="78" spans="1:6" s="122" customFormat="1" ht="19.5">
      <c r="A78" s="474"/>
      <c r="B78" s="447"/>
      <c r="C78" s="447"/>
      <c r="D78" s="447"/>
      <c r="E78" s="472"/>
      <c r="F78" s="447"/>
    </row>
    <row r="79" spans="1:6" s="122" customFormat="1" ht="19.5">
      <c r="A79" s="474"/>
      <c r="B79" s="447"/>
      <c r="C79" s="447"/>
      <c r="D79" s="447"/>
      <c r="E79" s="472"/>
      <c r="F79" s="447"/>
    </row>
    <row r="80" spans="1:6" s="122" customFormat="1" ht="19.5">
      <c r="A80" s="474"/>
      <c r="B80" s="447"/>
      <c r="C80" s="447"/>
      <c r="D80" s="447"/>
      <c r="E80" s="472"/>
      <c r="F80" s="447"/>
    </row>
    <row r="81" spans="1:6" s="122" customFormat="1" ht="19.5">
      <c r="A81" s="474"/>
      <c r="B81" s="447"/>
      <c r="C81" s="447"/>
      <c r="D81" s="447"/>
      <c r="E81" s="472"/>
      <c r="F81" s="447"/>
    </row>
    <row r="82" spans="1:6" s="122" customFormat="1" ht="19.5">
      <c r="A82" s="474"/>
      <c r="B82" s="447"/>
      <c r="C82" s="447"/>
      <c r="D82" s="447"/>
      <c r="E82" s="472"/>
      <c r="F82" s="447"/>
    </row>
    <row r="83" spans="1:6" s="122" customFormat="1" ht="19.5">
      <c r="A83" s="474"/>
      <c r="B83" s="447"/>
      <c r="C83" s="447"/>
      <c r="D83" s="447"/>
      <c r="E83" s="472"/>
      <c r="F83" s="447"/>
    </row>
    <row r="84" spans="1:6" s="122" customFormat="1" ht="19.5">
      <c r="A84" s="474"/>
      <c r="B84" s="447"/>
      <c r="C84" s="447"/>
      <c r="D84" s="447"/>
      <c r="E84" s="472"/>
      <c r="F84" s="447"/>
    </row>
    <row r="85" spans="1:6" s="122" customFormat="1" ht="19.5">
      <c r="A85" s="474"/>
      <c r="B85" s="447"/>
      <c r="C85" s="447"/>
      <c r="D85" s="447"/>
      <c r="E85" s="472"/>
      <c r="F85" s="447"/>
    </row>
    <row r="86" spans="1:6" s="122" customFormat="1" ht="19.5">
      <c r="A86" s="474"/>
      <c r="B86" s="447"/>
      <c r="C86" s="447"/>
      <c r="D86" s="447"/>
      <c r="E86" s="472"/>
      <c r="F86" s="447"/>
    </row>
    <row r="87" spans="1:6" s="122" customFormat="1" ht="19.5">
      <c r="A87" s="474"/>
      <c r="B87" s="447"/>
      <c r="C87" s="447"/>
      <c r="D87" s="447"/>
      <c r="E87" s="472"/>
      <c r="F87" s="447"/>
    </row>
    <row r="88" spans="1:6" s="122" customFormat="1" ht="19.5">
      <c r="A88" s="474"/>
      <c r="B88" s="447"/>
      <c r="C88" s="447"/>
      <c r="D88" s="447"/>
      <c r="E88" s="472"/>
      <c r="F88" s="447"/>
    </row>
    <row r="89" spans="1:6" s="122" customFormat="1" ht="19.5">
      <c r="A89" s="474"/>
      <c r="B89" s="447"/>
      <c r="C89" s="447"/>
      <c r="D89" s="447"/>
      <c r="E89" s="472"/>
      <c r="F89" s="447"/>
    </row>
    <row r="90" spans="1:6" s="122" customFormat="1" ht="19.5">
      <c r="A90" s="474"/>
      <c r="B90" s="447"/>
      <c r="C90" s="447"/>
      <c r="D90" s="447"/>
      <c r="E90" s="472"/>
      <c r="F90" s="447"/>
    </row>
    <row r="91" spans="1:6" s="122" customFormat="1" ht="19.5">
      <c r="A91" s="474"/>
      <c r="B91" s="447"/>
      <c r="C91" s="447"/>
      <c r="D91" s="447"/>
      <c r="E91" s="472"/>
      <c r="F91" s="447"/>
    </row>
    <row r="92" spans="1:6" s="122" customFormat="1" ht="19.5">
      <c r="A92" s="474"/>
      <c r="B92" s="447"/>
      <c r="C92" s="447"/>
      <c r="D92" s="447"/>
      <c r="E92" s="472"/>
      <c r="F92" s="447"/>
    </row>
    <row r="93" spans="1:6" s="122" customFormat="1" ht="19.5">
      <c r="A93" s="474"/>
      <c r="B93" s="447"/>
      <c r="C93" s="447"/>
      <c r="D93" s="447"/>
      <c r="E93" s="472"/>
      <c r="F93" s="447"/>
    </row>
    <row r="94" spans="1:6" s="122" customFormat="1" ht="19.5">
      <c r="A94" s="474"/>
      <c r="B94" s="447"/>
      <c r="C94" s="447"/>
      <c r="D94" s="447"/>
      <c r="E94" s="472"/>
      <c r="F94" s="447"/>
    </row>
    <row r="95" spans="1:6" s="122" customFormat="1" ht="19.5">
      <c r="A95" s="474"/>
      <c r="B95" s="447"/>
      <c r="C95" s="447"/>
      <c r="D95" s="447"/>
      <c r="E95" s="472"/>
      <c r="F95" s="447"/>
    </row>
    <row r="96" spans="1:6" s="122" customFormat="1" ht="19.5">
      <c r="A96" s="474"/>
      <c r="B96" s="447"/>
      <c r="C96" s="447"/>
      <c r="D96" s="447"/>
      <c r="E96" s="472"/>
      <c r="F96" s="447"/>
    </row>
    <row r="97" spans="1:6" s="122" customFormat="1" ht="19.5">
      <c r="A97" s="474"/>
      <c r="B97" s="447"/>
      <c r="C97" s="447"/>
      <c r="D97" s="447"/>
      <c r="E97" s="472"/>
      <c r="F97" s="447"/>
    </row>
    <row r="98" spans="1:6" s="122" customFormat="1" ht="19.5">
      <c r="A98" s="474"/>
      <c r="B98" s="447"/>
      <c r="C98" s="447"/>
      <c r="D98" s="447"/>
      <c r="E98" s="472"/>
      <c r="F98" s="447"/>
    </row>
    <row r="99" spans="1:6" s="122" customFormat="1" ht="19.5">
      <c r="A99" s="474"/>
      <c r="B99" s="447"/>
      <c r="C99" s="447"/>
      <c r="D99" s="447"/>
      <c r="E99" s="472"/>
      <c r="F99" s="447"/>
    </row>
    <row r="100" spans="1:6" s="122" customFormat="1" ht="19.5">
      <c r="A100" s="474"/>
      <c r="B100" s="447"/>
      <c r="C100" s="447"/>
      <c r="D100" s="447"/>
      <c r="E100" s="472"/>
      <c r="F100" s="447"/>
    </row>
    <row r="101" spans="1:6" s="122" customFormat="1" ht="19.5">
      <c r="A101" s="474"/>
      <c r="B101" s="447"/>
      <c r="C101" s="447"/>
      <c r="D101" s="447"/>
      <c r="E101" s="472"/>
      <c r="F101" s="447"/>
    </row>
    <row r="102" spans="1:6" s="122" customFormat="1" ht="19.5">
      <c r="A102" s="474"/>
      <c r="B102" s="447"/>
      <c r="C102" s="447"/>
      <c r="D102" s="447"/>
      <c r="E102" s="472"/>
      <c r="F102" s="447"/>
    </row>
    <row r="103" spans="1:6" s="122" customFormat="1" ht="19.5">
      <c r="A103" s="474"/>
      <c r="B103" s="447"/>
      <c r="C103" s="447"/>
      <c r="D103" s="447"/>
      <c r="E103" s="472"/>
      <c r="F103" s="447"/>
    </row>
    <row r="104" spans="1:6" s="122" customFormat="1" ht="19.5">
      <c r="A104" s="474"/>
      <c r="B104" s="447"/>
      <c r="C104" s="447"/>
      <c r="D104" s="447"/>
      <c r="E104" s="472"/>
      <c r="F104" s="447"/>
    </row>
    <row r="105" spans="1:6" s="122" customFormat="1" ht="19.5">
      <c r="A105" s="474"/>
      <c r="B105" s="447"/>
      <c r="C105" s="447"/>
      <c r="D105" s="447"/>
      <c r="E105" s="472"/>
      <c r="F105" s="447"/>
    </row>
    <row r="106" spans="1:6" s="122" customFormat="1" ht="19.5">
      <c r="A106" s="474"/>
      <c r="B106" s="447"/>
      <c r="C106" s="447"/>
      <c r="D106" s="447"/>
      <c r="E106" s="472"/>
      <c r="F106" s="447"/>
    </row>
    <row r="107" spans="1:6" s="122" customFormat="1" ht="19.5">
      <c r="A107" s="474"/>
      <c r="B107" s="447"/>
      <c r="C107" s="447"/>
      <c r="D107" s="447"/>
      <c r="E107" s="472"/>
      <c r="F107" s="447"/>
    </row>
    <row r="108" spans="1:6" s="122" customFormat="1" ht="19.5">
      <c r="A108" s="474"/>
      <c r="B108" s="447"/>
      <c r="C108" s="447"/>
      <c r="D108" s="447"/>
      <c r="E108" s="472"/>
      <c r="F108" s="447"/>
    </row>
    <row r="109" spans="1:6" s="122" customFormat="1" ht="19.5">
      <c r="A109" s="474"/>
      <c r="B109" s="447"/>
      <c r="C109" s="447"/>
      <c r="D109" s="447"/>
      <c r="E109" s="472"/>
      <c r="F109" s="447"/>
    </row>
    <row r="110" spans="1:6" s="122" customFormat="1" ht="19.5">
      <c r="A110" s="474"/>
      <c r="B110" s="447"/>
      <c r="C110" s="447"/>
      <c r="D110" s="447"/>
      <c r="E110" s="472"/>
      <c r="F110" s="447"/>
    </row>
    <row r="111" spans="1:6" s="122" customFormat="1" ht="19.5">
      <c r="A111" s="474"/>
      <c r="B111" s="447"/>
      <c r="C111" s="447"/>
      <c r="D111" s="447"/>
      <c r="E111" s="472"/>
      <c r="F111" s="447"/>
    </row>
    <row r="112" spans="1:6" s="122" customFormat="1" ht="19.5">
      <c r="A112" s="474"/>
      <c r="B112" s="447"/>
      <c r="C112" s="447"/>
      <c r="D112" s="447"/>
      <c r="E112" s="472"/>
      <c r="F112" s="447"/>
    </row>
    <row r="113" spans="1:6" s="122" customFormat="1" ht="19.5">
      <c r="A113" s="474"/>
      <c r="B113" s="447"/>
      <c r="C113" s="447"/>
      <c r="D113" s="447"/>
      <c r="E113" s="472"/>
      <c r="F113" s="447"/>
    </row>
    <row r="114" spans="1:6" s="122" customFormat="1" ht="19.5">
      <c r="A114" s="474"/>
      <c r="B114" s="447"/>
      <c r="C114" s="447"/>
      <c r="D114" s="447"/>
      <c r="E114" s="472"/>
      <c r="F114" s="447"/>
    </row>
    <row r="115" spans="1:6" s="122" customFormat="1" ht="19.5">
      <c r="A115" s="474"/>
      <c r="B115" s="447"/>
      <c r="C115" s="447"/>
      <c r="D115" s="447"/>
      <c r="E115" s="472"/>
      <c r="F115" s="447"/>
    </row>
    <row r="116" spans="1:6" s="122" customFormat="1" ht="19.5">
      <c r="A116" s="474"/>
      <c r="B116" s="447"/>
      <c r="C116" s="447"/>
      <c r="D116" s="447"/>
      <c r="E116" s="472"/>
      <c r="F116" s="447"/>
    </row>
    <row r="117" spans="1:6" s="122" customFormat="1" ht="19.5">
      <c r="A117" s="474"/>
      <c r="B117" s="447"/>
      <c r="C117" s="447"/>
      <c r="D117" s="447"/>
      <c r="E117" s="472"/>
      <c r="F117" s="447"/>
    </row>
    <row r="118" spans="1:6" s="122" customFormat="1" ht="19.5">
      <c r="A118" s="474"/>
      <c r="B118" s="447"/>
      <c r="C118" s="447"/>
      <c r="D118" s="447"/>
      <c r="E118" s="472"/>
      <c r="F118" s="447"/>
    </row>
    <row r="119" spans="1:6" s="122" customFormat="1" ht="19.5">
      <c r="A119" s="474"/>
      <c r="B119" s="447"/>
      <c r="C119" s="447"/>
      <c r="D119" s="447"/>
      <c r="E119" s="472"/>
      <c r="F119" s="447"/>
    </row>
    <row r="120" spans="1:6" s="122" customFormat="1" ht="19.5">
      <c r="A120" s="474"/>
      <c r="B120" s="447"/>
      <c r="C120" s="447"/>
      <c r="D120" s="447"/>
      <c r="E120" s="472"/>
      <c r="F120" s="447"/>
    </row>
    <row r="121" spans="1:6" s="122" customFormat="1" ht="19.5">
      <c r="A121" s="474"/>
      <c r="B121" s="447"/>
      <c r="C121" s="447"/>
      <c r="D121" s="447"/>
      <c r="E121" s="472"/>
      <c r="F121" s="447"/>
    </row>
    <row r="122" spans="1:6" s="122" customFormat="1" ht="19.5">
      <c r="A122" s="474"/>
      <c r="B122" s="447"/>
      <c r="C122" s="447"/>
      <c r="D122" s="447"/>
      <c r="E122" s="472"/>
      <c r="F122" s="447"/>
    </row>
    <row r="123" spans="1:6" s="122" customFormat="1" ht="19.5">
      <c r="A123" s="474"/>
      <c r="B123" s="447"/>
      <c r="C123" s="447"/>
      <c r="D123" s="447"/>
      <c r="E123" s="472"/>
      <c r="F123" s="447"/>
    </row>
    <row r="124" spans="1:6" s="122" customFormat="1" ht="19.5">
      <c r="A124" s="474"/>
      <c r="B124" s="447"/>
      <c r="C124" s="447"/>
      <c r="D124" s="447"/>
      <c r="E124" s="472"/>
      <c r="F124" s="447"/>
    </row>
    <row r="125" spans="1:6" s="122" customFormat="1" ht="19.5">
      <c r="A125" s="474"/>
      <c r="B125" s="447"/>
      <c r="C125" s="447"/>
      <c r="D125" s="447"/>
      <c r="E125" s="472"/>
      <c r="F125" s="447"/>
    </row>
    <row r="126" spans="1:6" s="122" customFormat="1" ht="19.5">
      <c r="A126" s="474"/>
      <c r="B126" s="447"/>
      <c r="C126" s="447"/>
      <c r="D126" s="447"/>
      <c r="E126" s="472"/>
      <c r="F126" s="447"/>
    </row>
    <row r="127" spans="1:6" s="122" customFormat="1" ht="19.5">
      <c r="A127" s="474"/>
      <c r="B127" s="447"/>
      <c r="C127" s="447"/>
      <c r="D127" s="447"/>
      <c r="E127" s="472"/>
      <c r="F127" s="447"/>
    </row>
    <row r="128" spans="1:6" s="122" customFormat="1" ht="19.5">
      <c r="A128" s="474"/>
      <c r="B128" s="447"/>
      <c r="C128" s="447"/>
      <c r="D128" s="447"/>
      <c r="E128" s="472"/>
      <c r="F128" s="447"/>
    </row>
    <row r="129" spans="1:6" s="122" customFormat="1" ht="19.5">
      <c r="A129" s="474"/>
      <c r="B129" s="447"/>
      <c r="C129" s="447"/>
      <c r="D129" s="447"/>
      <c r="E129" s="472"/>
      <c r="F129" s="447"/>
    </row>
    <row r="130" spans="1:6" s="122" customFormat="1" ht="19.5">
      <c r="A130" s="474"/>
      <c r="B130" s="447"/>
      <c r="C130" s="447"/>
      <c r="D130" s="447"/>
      <c r="E130" s="472"/>
      <c r="F130" s="447"/>
    </row>
    <row r="131" spans="1:6" s="122" customFormat="1" ht="19.5">
      <c r="A131" s="474"/>
      <c r="B131" s="447"/>
      <c r="C131" s="447"/>
      <c r="D131" s="447"/>
      <c r="E131" s="472"/>
      <c r="F131" s="447"/>
    </row>
    <row r="132" spans="1:6" s="122" customFormat="1" ht="19.5">
      <c r="A132" s="474"/>
      <c r="B132" s="447"/>
      <c r="C132" s="447"/>
      <c r="D132" s="447"/>
      <c r="E132" s="472"/>
      <c r="F132" s="447"/>
    </row>
    <row r="133" spans="1:6" s="122" customFormat="1" ht="19.5">
      <c r="A133" s="474"/>
      <c r="B133" s="447"/>
      <c r="C133" s="447"/>
      <c r="D133" s="447"/>
      <c r="E133" s="472"/>
      <c r="F133" s="447"/>
    </row>
    <row r="134" spans="1:6" s="122" customFormat="1" ht="19.5">
      <c r="A134" s="474"/>
      <c r="B134" s="447"/>
      <c r="C134" s="447"/>
      <c r="D134" s="447"/>
      <c r="E134" s="472"/>
      <c r="F134" s="447"/>
    </row>
    <row r="135" spans="1:6" s="122" customFormat="1" ht="19.5">
      <c r="A135" s="474"/>
      <c r="B135" s="447"/>
      <c r="C135" s="447"/>
      <c r="D135" s="447"/>
      <c r="E135" s="472"/>
      <c r="F135" s="447"/>
    </row>
    <row r="136" spans="1:6" s="122" customFormat="1" ht="19.5">
      <c r="A136" s="474"/>
      <c r="B136" s="447"/>
      <c r="C136" s="447"/>
      <c r="D136" s="447"/>
      <c r="E136" s="472"/>
      <c r="F136" s="447"/>
    </row>
    <row r="137" spans="1:6" s="122" customFormat="1" ht="19.5">
      <c r="A137" s="474"/>
      <c r="B137" s="447"/>
      <c r="C137" s="447"/>
      <c r="D137" s="447"/>
      <c r="E137" s="472"/>
      <c r="F137" s="447"/>
    </row>
    <row r="138" spans="1:6" s="122" customFormat="1" ht="19.5">
      <c r="A138" s="474"/>
      <c r="B138" s="447"/>
      <c r="C138" s="447"/>
      <c r="D138" s="447"/>
      <c r="E138" s="472"/>
      <c r="F138" s="447"/>
    </row>
    <row r="139" spans="1:6" s="122" customFormat="1" ht="19.5">
      <c r="A139" s="474"/>
      <c r="B139" s="447"/>
      <c r="C139" s="447"/>
      <c r="D139" s="447"/>
      <c r="E139" s="472"/>
      <c r="F139" s="447"/>
    </row>
    <row r="140" spans="1:6" s="122" customFormat="1" ht="19.5">
      <c r="A140" s="474"/>
      <c r="B140" s="447"/>
      <c r="C140" s="447"/>
      <c r="D140" s="447"/>
      <c r="E140" s="472"/>
      <c r="F140" s="447"/>
    </row>
    <row r="141" spans="1:6" s="122" customFormat="1" ht="19.5">
      <c r="A141" s="474"/>
      <c r="B141" s="447"/>
      <c r="C141" s="447"/>
      <c r="D141" s="447"/>
      <c r="E141" s="472"/>
      <c r="F141" s="447"/>
    </row>
    <row r="142" spans="1:6" s="122" customFormat="1" ht="19.5">
      <c r="A142" s="474"/>
      <c r="B142" s="447"/>
      <c r="C142" s="447"/>
      <c r="D142" s="447"/>
      <c r="E142" s="472"/>
      <c r="F142" s="447"/>
    </row>
    <row r="143" spans="1:6" s="122" customFormat="1" ht="19.5">
      <c r="A143" s="474"/>
      <c r="B143" s="447"/>
      <c r="C143" s="447"/>
      <c r="D143" s="447"/>
      <c r="E143" s="472"/>
      <c r="F143" s="447"/>
    </row>
    <row r="144" spans="1:6" s="122" customFormat="1" ht="19.5">
      <c r="A144" s="474"/>
      <c r="B144" s="447"/>
      <c r="C144" s="447"/>
      <c r="D144" s="447"/>
      <c r="E144" s="472"/>
      <c r="F144" s="447"/>
    </row>
    <row r="145" spans="1:6" s="122" customFormat="1" ht="19.5">
      <c r="A145" s="474"/>
      <c r="B145" s="447"/>
      <c r="C145" s="447"/>
      <c r="D145" s="447"/>
      <c r="E145" s="472"/>
      <c r="F145" s="447"/>
    </row>
    <row r="146" spans="1:6" s="122" customFormat="1" ht="19.5">
      <c r="A146" s="474"/>
      <c r="B146" s="447"/>
      <c r="C146" s="447"/>
      <c r="D146" s="447"/>
      <c r="E146" s="472"/>
      <c r="F146" s="447"/>
    </row>
    <row r="147" spans="1:6" s="122" customFormat="1" ht="19.5">
      <c r="A147" s="474"/>
      <c r="B147" s="447"/>
      <c r="C147" s="447"/>
      <c r="D147" s="447"/>
      <c r="E147" s="472"/>
      <c r="F147" s="447"/>
    </row>
    <row r="148" spans="1:6" s="122" customFormat="1" ht="19.5">
      <c r="A148" s="474"/>
      <c r="B148" s="447"/>
      <c r="C148" s="447"/>
      <c r="D148" s="447"/>
      <c r="E148" s="472"/>
      <c r="F148" s="447"/>
    </row>
    <row r="149" spans="1:6" s="122" customFormat="1" ht="19.5">
      <c r="A149" s="474"/>
      <c r="B149" s="447"/>
      <c r="C149" s="447"/>
      <c r="D149" s="447"/>
      <c r="E149" s="472"/>
      <c r="F149" s="447"/>
    </row>
    <row r="150" spans="1:6" s="122" customFormat="1" ht="19.5">
      <c r="A150" s="474"/>
      <c r="B150" s="447"/>
      <c r="C150" s="447"/>
      <c r="D150" s="447"/>
      <c r="E150" s="472"/>
      <c r="F150" s="447"/>
    </row>
    <row r="151" spans="1:6" s="122" customFormat="1" ht="19.5">
      <c r="A151" s="474"/>
      <c r="B151" s="447"/>
      <c r="C151" s="447"/>
      <c r="D151" s="447"/>
      <c r="E151" s="472"/>
      <c r="F151" s="447"/>
    </row>
    <row r="152" spans="1:6" s="122" customFormat="1" ht="19.5">
      <c r="A152" s="474"/>
      <c r="B152" s="447"/>
      <c r="C152" s="447"/>
      <c r="D152" s="447"/>
      <c r="E152" s="472"/>
      <c r="F152" s="447"/>
    </row>
    <row r="153" spans="1:6" s="122" customFormat="1" ht="19.5">
      <c r="A153" s="474"/>
      <c r="B153" s="447"/>
      <c r="C153" s="447"/>
      <c r="D153" s="447"/>
      <c r="E153" s="472"/>
      <c r="F153" s="447"/>
    </row>
    <row r="154" spans="1:6" s="122" customFormat="1" ht="19.5">
      <c r="A154" s="474"/>
      <c r="B154" s="447"/>
      <c r="C154" s="447"/>
      <c r="D154" s="447"/>
      <c r="E154" s="472"/>
      <c r="F154" s="447"/>
    </row>
    <row r="155" spans="1:6" s="122" customFormat="1" ht="19.5">
      <c r="A155" s="474"/>
      <c r="B155" s="447"/>
      <c r="C155" s="447"/>
      <c r="D155" s="447"/>
      <c r="E155" s="472"/>
      <c r="F155" s="447"/>
    </row>
    <row r="156" spans="1:6" s="122" customFormat="1" ht="19.5">
      <c r="A156" s="474"/>
      <c r="B156" s="447"/>
      <c r="C156" s="447"/>
      <c r="D156" s="447"/>
      <c r="E156" s="472"/>
      <c r="F156" s="447"/>
    </row>
    <row r="157" spans="1:6" s="122" customFormat="1" ht="19.5">
      <c r="A157" s="474"/>
      <c r="B157" s="447"/>
      <c r="C157" s="447"/>
      <c r="D157" s="447"/>
      <c r="E157" s="472"/>
      <c r="F157" s="447"/>
    </row>
    <row r="158" spans="1:6" s="122" customFormat="1" ht="19.5">
      <c r="A158" s="474"/>
      <c r="B158" s="447"/>
      <c r="C158" s="447"/>
      <c r="D158" s="447"/>
      <c r="E158" s="472"/>
      <c r="F158" s="447"/>
    </row>
    <row r="159" spans="1:6" s="122" customFormat="1" ht="19.5">
      <c r="A159" s="474"/>
      <c r="B159" s="447"/>
      <c r="C159" s="447"/>
      <c r="D159" s="447"/>
      <c r="E159" s="472"/>
      <c r="F159" s="447"/>
    </row>
    <row r="160" spans="1:6" s="122" customFormat="1" ht="19.5">
      <c r="A160" s="474"/>
      <c r="B160" s="447"/>
      <c r="C160" s="447"/>
      <c r="D160" s="447"/>
      <c r="E160" s="472"/>
      <c r="F160" s="447"/>
    </row>
    <row r="161" spans="1:6" s="122" customFormat="1" ht="19.5">
      <c r="A161" s="474"/>
      <c r="B161" s="447"/>
      <c r="C161" s="447"/>
      <c r="D161" s="447"/>
      <c r="E161" s="472"/>
      <c r="F161" s="447"/>
    </row>
    <row r="162" spans="1:6" s="122" customFormat="1" ht="19.5">
      <c r="A162" s="474"/>
      <c r="B162" s="447"/>
      <c r="C162" s="447"/>
      <c r="D162" s="447"/>
      <c r="E162" s="472"/>
      <c r="F162" s="447"/>
    </row>
    <row r="163" spans="1:6" s="122" customFormat="1" ht="19.5">
      <c r="A163" s="474"/>
      <c r="B163" s="447"/>
      <c r="C163" s="447"/>
      <c r="D163" s="447"/>
      <c r="E163" s="472"/>
      <c r="F163" s="447"/>
    </row>
    <row r="164" spans="1:6" s="122" customFormat="1" ht="19.5">
      <c r="A164" s="474"/>
      <c r="B164" s="447"/>
      <c r="C164" s="447"/>
      <c r="D164" s="447"/>
      <c r="E164" s="472"/>
      <c r="F164" s="447"/>
    </row>
    <row r="165" spans="1:6" s="122" customFormat="1" ht="19.5">
      <c r="A165" s="474"/>
      <c r="B165" s="447"/>
      <c r="C165" s="447"/>
      <c r="D165" s="447"/>
      <c r="E165" s="472"/>
      <c r="F165" s="447"/>
    </row>
    <row r="166" spans="1:6" s="122" customFormat="1" ht="19.5">
      <c r="A166" s="474"/>
      <c r="B166" s="447"/>
      <c r="C166" s="447"/>
      <c r="D166" s="447"/>
      <c r="E166" s="472"/>
      <c r="F166" s="447"/>
    </row>
    <row r="167" spans="1:6" s="122" customFormat="1" ht="19.5">
      <c r="A167" s="474"/>
      <c r="B167" s="447"/>
      <c r="C167" s="447"/>
      <c r="D167" s="447"/>
      <c r="E167" s="472"/>
      <c r="F167" s="447"/>
    </row>
    <row r="168" spans="1:6" s="122" customFormat="1" ht="19.5">
      <c r="A168" s="474"/>
      <c r="B168" s="447"/>
      <c r="C168" s="447"/>
      <c r="D168" s="447"/>
      <c r="E168" s="472"/>
      <c r="F168" s="447"/>
    </row>
    <row r="169" spans="1:6" s="122" customFormat="1" ht="19.5">
      <c r="A169" s="474"/>
      <c r="B169" s="447"/>
      <c r="C169" s="447"/>
      <c r="D169" s="447"/>
      <c r="E169" s="472"/>
      <c r="F169" s="447"/>
    </row>
    <row r="170" spans="1:6" s="122" customFormat="1" ht="19.5">
      <c r="A170" s="474"/>
      <c r="B170" s="447"/>
      <c r="C170" s="447"/>
      <c r="D170" s="447"/>
      <c r="E170" s="472"/>
      <c r="F170" s="447"/>
    </row>
    <row r="172" spans="1:6" s="123" customFormat="1" ht="19.5">
      <c r="A172" s="474"/>
      <c r="B172" s="447"/>
      <c r="C172" s="447"/>
      <c r="D172" s="447"/>
      <c r="E172" s="472"/>
      <c r="F172" s="447"/>
    </row>
    <row r="173" spans="1:6" s="123" customFormat="1" ht="19.5">
      <c r="A173" s="474"/>
      <c r="B173" s="447"/>
      <c r="C173" s="447"/>
      <c r="D173" s="447"/>
      <c r="E173" s="472"/>
      <c r="F173" s="447"/>
    </row>
  </sheetData>
  <autoFilter ref="A3:F31" xr:uid="{00000000-0009-0000-0000-00000C000000}">
    <filterColumn colId="4" showButton="0"/>
    <filterColumn colId="5" showButton="0"/>
  </autoFilter>
  <mergeCells count="7">
    <mergeCell ref="A1:F1"/>
    <mergeCell ref="A2:F2"/>
    <mergeCell ref="A3:A4"/>
    <mergeCell ref="B3:B4"/>
    <mergeCell ref="C3:C4"/>
    <mergeCell ref="D3:D4"/>
    <mergeCell ref="E3:F3"/>
  </mergeCells>
  <printOptions horizontalCentered="1"/>
  <pageMargins left="0" right="0" top="0.39370078740157483" bottom="0.55118110236220474" header="0" footer="0"/>
  <pageSetup paperSize="9" scale="75" firstPageNumber="18" fitToHeight="101" orientation="portrait" useFirstPageNumber="1" r:id="rId1"/>
  <headerFooter>
    <oddFooter>&amp;C&amp;"B Titr,Bold"&amp;12 &amp;20 &amp;24 17</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pageSetUpPr fitToPage="1"/>
  </sheetPr>
  <dimension ref="A1:Q21"/>
  <sheetViews>
    <sheetView rightToLeft="1" view="pageBreakPreview" zoomScale="70" zoomScaleSheetLayoutView="70" workbookViewId="0">
      <selection activeCell="H7" sqref="H7"/>
    </sheetView>
  </sheetViews>
  <sheetFormatPr defaultRowHeight="30" customHeight="1"/>
  <cols>
    <col min="1" max="1" width="9.28515625" style="195" bestFit="1" customWidth="1"/>
    <col min="2" max="2" width="9.140625" style="195"/>
    <col min="3" max="4" width="13.85546875" style="195" customWidth="1"/>
    <col min="5" max="5" width="21.42578125" style="195" bestFit="1" customWidth="1"/>
    <col min="6" max="6" width="19.140625" style="195" customWidth="1"/>
    <col min="7" max="7" width="20.28515625" style="195" customWidth="1"/>
    <col min="8" max="8" width="20.140625" style="195" customWidth="1"/>
    <col min="9" max="9" width="1.28515625" style="195" customWidth="1"/>
    <col min="10" max="10" width="16.85546875" style="195" bestFit="1" customWidth="1"/>
    <col min="11" max="11" width="16.5703125" style="195" customWidth="1"/>
    <col min="12" max="12" width="14.42578125" style="195" customWidth="1"/>
    <col min="13" max="13" width="17.7109375" style="195" customWidth="1"/>
    <col min="14" max="15" width="19.5703125" style="195" customWidth="1"/>
    <col min="16" max="16" width="9.140625" style="195"/>
    <col min="17" max="17" width="22.7109375" style="195" bestFit="1" customWidth="1"/>
    <col min="18" max="16384" width="9.140625" style="195"/>
  </cols>
  <sheetData>
    <row r="1" spans="1:17" ht="30" customHeight="1">
      <c r="A1" s="848" t="s">
        <v>960</v>
      </c>
      <c r="B1" s="848"/>
      <c r="C1" s="848"/>
      <c r="D1" s="848"/>
      <c r="E1" s="848"/>
      <c r="F1" s="848"/>
      <c r="G1" s="848"/>
      <c r="H1" s="848"/>
      <c r="I1" s="848"/>
      <c r="J1" s="848"/>
      <c r="K1" s="848"/>
      <c r="L1" s="848"/>
      <c r="M1" s="848"/>
      <c r="N1" s="848"/>
      <c r="O1" s="848"/>
    </row>
    <row r="2" spans="1:17" ht="30" customHeight="1">
      <c r="A2" s="849" t="s">
        <v>109</v>
      </c>
      <c r="B2" s="849"/>
      <c r="C2" s="849"/>
      <c r="D2" s="849"/>
      <c r="E2" s="849"/>
      <c r="F2" s="849"/>
      <c r="G2" s="849"/>
      <c r="H2" s="849"/>
      <c r="I2" s="849"/>
      <c r="J2" s="849"/>
      <c r="K2" s="849"/>
      <c r="L2" s="849"/>
      <c r="M2" s="849"/>
      <c r="N2" s="849"/>
      <c r="O2" s="849"/>
    </row>
    <row r="3" spans="1:17" ht="30" customHeight="1">
      <c r="A3" s="849" t="s">
        <v>730</v>
      </c>
      <c r="B3" s="849"/>
      <c r="C3" s="849"/>
      <c r="D3" s="849"/>
      <c r="E3" s="849"/>
      <c r="F3" s="849"/>
      <c r="G3" s="849"/>
      <c r="H3" s="849"/>
      <c r="I3" s="849"/>
      <c r="J3" s="849"/>
      <c r="K3" s="849"/>
      <c r="L3" s="849"/>
      <c r="M3" s="849"/>
      <c r="N3" s="849"/>
      <c r="O3" s="849"/>
    </row>
    <row r="4" spans="1:17" ht="30" customHeight="1">
      <c r="A4" s="268" t="s">
        <v>698</v>
      </c>
      <c r="B4" s="158"/>
      <c r="C4" s="159"/>
      <c r="D4" s="159"/>
      <c r="E4" s="140"/>
      <c r="F4" s="160"/>
      <c r="G4" s="140"/>
      <c r="H4" s="160"/>
      <c r="I4" s="160"/>
      <c r="J4" s="160"/>
      <c r="K4" s="160"/>
      <c r="L4" s="160"/>
      <c r="M4" s="160"/>
      <c r="N4" s="160"/>
      <c r="O4" s="153"/>
    </row>
    <row r="5" spans="1:17" ht="43.5" customHeight="1">
      <c r="A5" s="851" t="s">
        <v>94</v>
      </c>
      <c r="B5" s="851"/>
      <c r="C5" s="851"/>
      <c r="D5" s="851"/>
      <c r="E5" s="851"/>
      <c r="F5" s="851"/>
      <c r="G5" s="851"/>
      <c r="H5" s="851"/>
      <c r="I5" s="851"/>
      <c r="J5" s="851"/>
      <c r="K5" s="851"/>
      <c r="L5" s="851"/>
      <c r="M5" s="851"/>
      <c r="N5" s="851"/>
      <c r="O5" s="851"/>
    </row>
    <row r="6" spans="1:17" ht="30" customHeight="1">
      <c r="A6" s="140"/>
      <c r="B6" s="140"/>
      <c r="C6" s="140"/>
      <c r="D6" s="140"/>
      <c r="E6" s="765" t="s">
        <v>95</v>
      </c>
      <c r="F6" s="765"/>
      <c r="G6" s="765"/>
      <c r="H6" s="765"/>
      <c r="I6" s="140"/>
      <c r="J6" s="765" t="s">
        <v>96</v>
      </c>
      <c r="K6" s="765"/>
      <c r="L6" s="765"/>
      <c r="M6" s="765"/>
      <c r="N6" s="765" t="s">
        <v>103</v>
      </c>
      <c r="O6" s="765"/>
    </row>
    <row r="7" spans="1:17" ht="143.25" customHeight="1">
      <c r="A7" s="140"/>
      <c r="B7" s="205" t="s">
        <v>97</v>
      </c>
      <c r="C7" s="140"/>
      <c r="D7" s="266" t="s">
        <v>70</v>
      </c>
      <c r="E7" s="157" t="s">
        <v>102</v>
      </c>
      <c r="F7" s="162" t="s">
        <v>811</v>
      </c>
      <c r="G7" s="157" t="s">
        <v>699</v>
      </c>
      <c r="H7" s="157" t="s">
        <v>731</v>
      </c>
      <c r="I7" s="140"/>
      <c r="J7" s="218" t="s">
        <v>102</v>
      </c>
      <c r="K7" s="157" t="s">
        <v>99</v>
      </c>
      <c r="L7" s="157" t="s">
        <v>100</v>
      </c>
      <c r="M7" s="157" t="s">
        <v>731</v>
      </c>
      <c r="N7" s="157" t="s">
        <v>731</v>
      </c>
      <c r="O7" s="157" t="s">
        <v>610</v>
      </c>
    </row>
    <row r="8" spans="1:17" ht="51.75" customHeight="1">
      <c r="A8" s="850" t="s">
        <v>643</v>
      </c>
      <c r="B8" s="850"/>
      <c r="C8" s="850"/>
      <c r="D8" s="140" t="s">
        <v>495</v>
      </c>
      <c r="E8" s="138">
        <v>560247500000</v>
      </c>
      <c r="F8" s="293"/>
      <c r="G8" s="138">
        <v>0</v>
      </c>
      <c r="H8" s="138">
        <f>SUM(E8:G8)</f>
        <v>560247500000</v>
      </c>
      <c r="I8" s="34"/>
      <c r="J8" s="138">
        <v>0</v>
      </c>
      <c r="K8" s="138">
        <v>0</v>
      </c>
      <c r="L8" s="294"/>
      <c r="M8" s="138">
        <f>J8+K8-L8</f>
        <v>0</v>
      </c>
      <c r="N8" s="138">
        <f t="shared" ref="N8:N15" si="0">H8-M8</f>
        <v>560247500000</v>
      </c>
      <c r="O8" s="138">
        <f>E8-J8</f>
        <v>560247500000</v>
      </c>
    </row>
    <row r="9" spans="1:17" ht="51.75" customHeight="1">
      <c r="A9" s="852" t="s">
        <v>642</v>
      </c>
      <c r="B9" s="852"/>
      <c r="C9" s="852"/>
      <c r="D9" s="247" t="s">
        <v>496</v>
      </c>
      <c r="E9" s="138">
        <v>338859668880</v>
      </c>
      <c r="F9" s="245"/>
      <c r="G9" s="138">
        <f>678251626+3190358100-3868609726</f>
        <v>0</v>
      </c>
      <c r="H9" s="138">
        <f>SUM(E9:G9)</f>
        <v>338859668880</v>
      </c>
      <c r="I9" s="34"/>
      <c r="J9" s="138">
        <v>10852064819</v>
      </c>
      <c r="K9" s="138">
        <f>5661946862+3333333</f>
        <v>5665280195</v>
      </c>
      <c r="L9" s="294"/>
      <c r="M9" s="211">
        <f>J9+K9+L9</f>
        <v>16517345014</v>
      </c>
      <c r="N9" s="138">
        <f t="shared" si="0"/>
        <v>322342323866</v>
      </c>
      <c r="O9" s="138">
        <f>E9-J9</f>
        <v>328007604061</v>
      </c>
      <c r="Q9" s="195">
        <v>3868609726</v>
      </c>
    </row>
    <row r="10" spans="1:17" ht="51.75" customHeight="1">
      <c r="A10" s="852" t="s">
        <v>640</v>
      </c>
      <c r="B10" s="852"/>
      <c r="C10" s="852"/>
      <c r="D10" s="247" t="s">
        <v>663</v>
      </c>
      <c r="E10" s="138">
        <f>17221854597+1355901000</f>
        <v>18577755597</v>
      </c>
      <c r="F10" s="295">
        <v>-15530000</v>
      </c>
      <c r="G10" s="138">
        <f>3989907500+275866000-1355901000</f>
        <v>2909872500</v>
      </c>
      <c r="H10" s="138">
        <f>SUM(E10:G10)</f>
        <v>21472098097</v>
      </c>
      <c r="I10" s="34"/>
      <c r="J10" s="138">
        <v>4629071271</v>
      </c>
      <c r="K10" s="138">
        <v>2962877670</v>
      </c>
      <c r="L10" s="295">
        <v>-6957498</v>
      </c>
      <c r="M10" s="211">
        <f>J10+K10+L10</f>
        <v>7584991443</v>
      </c>
      <c r="N10" s="138">
        <f t="shared" si="0"/>
        <v>13887106654</v>
      </c>
      <c r="O10" s="138">
        <f>E10-J10</f>
        <v>13948684326</v>
      </c>
    </row>
    <row r="11" spans="1:17" ht="51.75" customHeight="1">
      <c r="A11" s="852" t="s">
        <v>647</v>
      </c>
      <c r="B11" s="852"/>
      <c r="C11" s="852"/>
      <c r="D11" s="247" t="s">
        <v>664</v>
      </c>
      <c r="E11" s="138">
        <v>5507615500</v>
      </c>
      <c r="F11" s="295"/>
      <c r="G11" s="138">
        <v>0</v>
      </c>
      <c r="H11" s="138">
        <f>SUM(E11:G11)</f>
        <v>5507615500</v>
      </c>
      <c r="I11" s="34"/>
      <c r="J11" s="138">
        <v>1192251364</v>
      </c>
      <c r="K11" s="138">
        <v>651001937</v>
      </c>
      <c r="L11" s="294"/>
      <c r="M11" s="211">
        <f>J11+K11+L11</f>
        <v>1843253301</v>
      </c>
      <c r="N11" s="138">
        <f t="shared" si="0"/>
        <v>3664362199</v>
      </c>
      <c r="O11" s="138">
        <f>E11-J11</f>
        <v>4315364136</v>
      </c>
    </row>
    <row r="12" spans="1:17" ht="51.75" customHeight="1">
      <c r="A12" s="852" t="s">
        <v>645</v>
      </c>
      <c r="B12" s="852"/>
      <c r="C12" s="852"/>
      <c r="D12" s="247" t="s">
        <v>669</v>
      </c>
      <c r="E12" s="138">
        <v>351750002</v>
      </c>
      <c r="F12" s="295">
        <v>-184100000</v>
      </c>
      <c r="G12" s="138">
        <v>0</v>
      </c>
      <c r="H12" s="138">
        <f>SUM(E12:G12)</f>
        <v>167650002</v>
      </c>
      <c r="I12" s="34"/>
      <c r="J12" s="138">
        <v>47594029</v>
      </c>
      <c r="K12" s="138">
        <v>24948333</v>
      </c>
      <c r="L12" s="760">
        <f>-35797221</f>
        <v>-35797221</v>
      </c>
      <c r="M12" s="211">
        <f>J12+K12+L12</f>
        <v>36745141</v>
      </c>
      <c r="N12" s="138">
        <f t="shared" si="0"/>
        <v>130904861</v>
      </c>
      <c r="O12" s="138">
        <f>E12-J12</f>
        <v>304155973</v>
      </c>
    </row>
    <row r="13" spans="1:17" ht="51.75" customHeight="1">
      <c r="A13" s="852" t="s">
        <v>844</v>
      </c>
      <c r="B13" s="852"/>
      <c r="C13" s="852"/>
      <c r="D13" s="247"/>
      <c r="E13" s="647">
        <f>SUM(E8:E12)</f>
        <v>923544289979</v>
      </c>
      <c r="F13" s="648">
        <f t="shared" ref="F13:O13" si="1">SUM(F8:F12)</f>
        <v>-199630000</v>
      </c>
      <c r="G13" s="647">
        <f t="shared" si="1"/>
        <v>2909872500</v>
      </c>
      <c r="H13" s="647">
        <f t="shared" si="1"/>
        <v>926254532479</v>
      </c>
      <c r="I13" s="138">
        <f t="shared" si="1"/>
        <v>0</v>
      </c>
      <c r="J13" s="647">
        <f t="shared" si="1"/>
        <v>16720981483</v>
      </c>
      <c r="K13" s="647">
        <f t="shared" si="1"/>
        <v>9304108135</v>
      </c>
      <c r="L13" s="760">
        <f t="shared" si="1"/>
        <v>-42754719</v>
      </c>
      <c r="M13" s="647">
        <f t="shared" si="1"/>
        <v>25982334899</v>
      </c>
      <c r="N13" s="647">
        <f t="shared" si="1"/>
        <v>900272197580</v>
      </c>
      <c r="O13" s="647">
        <f t="shared" si="1"/>
        <v>906823308496</v>
      </c>
    </row>
    <row r="14" spans="1:17" ht="18.75" customHeight="1">
      <c r="A14" s="206"/>
      <c r="B14" s="206"/>
      <c r="C14" s="206"/>
      <c r="D14" s="247"/>
      <c r="E14" s="138"/>
      <c r="F14" s="138"/>
      <c r="G14" s="138"/>
      <c r="H14" s="138"/>
      <c r="I14" s="138"/>
      <c r="J14" s="138"/>
      <c r="K14" s="138"/>
      <c r="L14" s="138"/>
      <c r="M14" s="138"/>
      <c r="N14" s="138"/>
      <c r="O14" s="138"/>
    </row>
    <row r="15" spans="1:17" ht="46.5" customHeight="1">
      <c r="A15" s="206" t="s">
        <v>104</v>
      </c>
      <c r="B15" s="139"/>
      <c r="C15" s="139"/>
      <c r="D15" s="250" t="s">
        <v>697</v>
      </c>
      <c r="E15" s="138">
        <v>0</v>
      </c>
      <c r="F15" s="295"/>
      <c r="G15" s="138">
        <v>30351721935</v>
      </c>
      <c r="H15" s="138">
        <f>SUM(E15:G15)</f>
        <v>30351721935</v>
      </c>
      <c r="I15" s="196"/>
      <c r="J15" s="644"/>
      <c r="K15" s="644"/>
      <c r="L15" s="646"/>
      <c r="M15" s="645"/>
      <c r="N15" s="138">
        <f t="shared" si="0"/>
        <v>30351721935</v>
      </c>
      <c r="O15" s="138">
        <f>E15-J15</f>
        <v>0</v>
      </c>
    </row>
    <row r="16" spans="1:17" ht="41.25" customHeight="1" thickBot="1">
      <c r="A16" s="851" t="s">
        <v>649</v>
      </c>
      <c r="B16" s="851" t="s">
        <v>101</v>
      </c>
      <c r="C16" s="851"/>
      <c r="D16" s="296"/>
      <c r="E16" s="238">
        <f>E15+E13</f>
        <v>923544289979</v>
      </c>
      <c r="F16" s="733">
        <f t="shared" ref="F16:O16" si="2">F15+F13</f>
        <v>-199630000</v>
      </c>
      <c r="G16" s="238">
        <f t="shared" si="2"/>
        <v>33261594435</v>
      </c>
      <c r="H16" s="238">
        <f t="shared" si="2"/>
        <v>956606254414</v>
      </c>
      <c r="I16" s="238">
        <f t="shared" si="2"/>
        <v>0</v>
      </c>
      <c r="J16" s="238">
        <f t="shared" si="2"/>
        <v>16720981483</v>
      </c>
      <c r="K16" s="238">
        <f t="shared" si="2"/>
        <v>9304108135</v>
      </c>
      <c r="L16" s="733">
        <f t="shared" si="2"/>
        <v>-42754719</v>
      </c>
      <c r="M16" s="238">
        <f t="shared" si="2"/>
        <v>25982334899</v>
      </c>
      <c r="N16" s="238">
        <f t="shared" si="2"/>
        <v>930623919515</v>
      </c>
      <c r="O16" s="238">
        <f t="shared" si="2"/>
        <v>906823308496</v>
      </c>
      <c r="Q16" s="200"/>
    </row>
    <row r="17" spans="1:14" ht="30" customHeight="1" thickTop="1">
      <c r="A17" s="811"/>
      <c r="B17" s="811"/>
      <c r="C17" s="811"/>
      <c r="D17" s="811"/>
      <c r="E17" s="811"/>
      <c r="F17" s="811"/>
      <c r="G17" s="199"/>
      <c r="H17" s="199"/>
    </row>
    <row r="18" spans="1:14" ht="30" customHeight="1">
      <c r="A18" s="811" t="s">
        <v>974</v>
      </c>
      <c r="B18" s="811"/>
      <c r="C18" s="811"/>
      <c r="D18" s="811"/>
      <c r="E18" s="811"/>
      <c r="F18" s="811"/>
      <c r="G18" s="199"/>
      <c r="H18" s="199"/>
    </row>
    <row r="19" spans="1:14" ht="30" customHeight="1">
      <c r="E19" s="34"/>
      <c r="G19" s="34"/>
      <c r="H19" s="200"/>
      <c r="N19" s="200"/>
    </row>
    <row r="20" spans="1:14" ht="30" customHeight="1">
      <c r="E20" s="34"/>
      <c r="G20" s="34"/>
      <c r="H20" s="200"/>
      <c r="N20" s="200"/>
    </row>
    <row r="21" spans="1:14" ht="30" customHeight="1">
      <c r="G21" s="297"/>
    </row>
  </sheetData>
  <mergeCells count="16">
    <mergeCell ref="A18:F18"/>
    <mergeCell ref="A1:O1"/>
    <mergeCell ref="A2:O2"/>
    <mergeCell ref="A3:O3"/>
    <mergeCell ref="E6:H6"/>
    <mergeCell ref="J6:M6"/>
    <mergeCell ref="N6:O6"/>
    <mergeCell ref="A8:C8"/>
    <mergeCell ref="A5:O5"/>
    <mergeCell ref="A9:C9"/>
    <mergeCell ref="A16:C16"/>
    <mergeCell ref="A10:C10"/>
    <mergeCell ref="A11:C11"/>
    <mergeCell ref="A12:C12"/>
    <mergeCell ref="A13:C13"/>
    <mergeCell ref="A17:F17"/>
  </mergeCells>
  <printOptions horizontalCentered="1"/>
  <pageMargins left="0.15748031496062992" right="0.15748031496062992" top="0.15748031496062992" bottom="0.6692913385826772" header="0.31496062992125984" footer="0.31496062992125984"/>
  <pageSetup paperSize="9" scale="63" orientation="landscape" r:id="rId1"/>
  <headerFooter>
    <oddFooter xml:space="preserve">&amp;C&amp;"B Titr,Bold"&amp;22 18 &amp;18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Q17"/>
  <sheetViews>
    <sheetView rightToLeft="1" view="pageBreakPreview" zoomScale="70" zoomScaleSheetLayoutView="70" workbookViewId="0">
      <selection activeCell="G8" sqref="G8"/>
    </sheetView>
  </sheetViews>
  <sheetFormatPr defaultRowHeight="30" customHeight="1"/>
  <cols>
    <col min="1" max="1" width="9.28515625" style="195" customWidth="1"/>
    <col min="2" max="2" width="11.5703125" style="195" bestFit="1" customWidth="1"/>
    <col min="3" max="3" width="12.7109375" style="195" customWidth="1"/>
    <col min="4" max="4" width="13.85546875" style="195" customWidth="1"/>
    <col min="5" max="5" width="22.42578125" style="195" bestFit="1" customWidth="1"/>
    <col min="6" max="6" width="19.140625" style="195" customWidth="1"/>
    <col min="7" max="7" width="20.28515625" style="195" customWidth="1"/>
    <col min="8" max="8" width="20.140625" style="195" customWidth="1"/>
    <col min="9" max="9" width="1.28515625" style="195" customWidth="1"/>
    <col min="10" max="10" width="18.140625" style="195" bestFit="1" customWidth="1"/>
    <col min="11" max="11" width="16.5703125" style="195" customWidth="1"/>
    <col min="12" max="12" width="13.5703125" style="195" customWidth="1"/>
    <col min="13" max="13" width="17.7109375" style="195" customWidth="1"/>
    <col min="14" max="15" width="19.5703125" style="195" customWidth="1"/>
    <col min="16" max="16" width="9.140625" style="195"/>
    <col min="17" max="17" width="22.7109375" style="195" bestFit="1" customWidth="1"/>
    <col min="18" max="16384" width="9.140625" style="195"/>
  </cols>
  <sheetData>
    <row r="1" spans="1:17" ht="30" customHeight="1">
      <c r="A1" s="767" t="s">
        <v>960</v>
      </c>
      <c r="B1" s="767"/>
      <c r="C1" s="767"/>
      <c r="D1" s="767"/>
      <c r="E1" s="767"/>
      <c r="F1" s="767"/>
      <c r="G1" s="767"/>
      <c r="H1" s="767"/>
      <c r="I1" s="767"/>
      <c r="J1" s="767"/>
      <c r="K1" s="767"/>
      <c r="L1" s="767"/>
      <c r="M1" s="767"/>
      <c r="N1" s="767"/>
      <c r="O1" s="767"/>
    </row>
    <row r="2" spans="1:17" ht="30" customHeight="1">
      <c r="A2" s="768" t="s">
        <v>109</v>
      </c>
      <c r="B2" s="768"/>
      <c r="C2" s="768"/>
      <c r="D2" s="768"/>
      <c r="E2" s="768"/>
      <c r="F2" s="768"/>
      <c r="G2" s="768"/>
      <c r="H2" s="768"/>
      <c r="I2" s="768"/>
      <c r="J2" s="768"/>
      <c r="K2" s="768"/>
      <c r="L2" s="768"/>
      <c r="M2" s="768"/>
      <c r="N2" s="768"/>
      <c r="O2" s="768"/>
    </row>
    <row r="3" spans="1:17" ht="30" customHeight="1">
      <c r="A3" s="768" t="s">
        <v>730</v>
      </c>
      <c r="B3" s="768"/>
      <c r="C3" s="768"/>
      <c r="D3" s="768"/>
      <c r="E3" s="768"/>
      <c r="F3" s="768"/>
      <c r="G3" s="768"/>
      <c r="H3" s="768"/>
      <c r="I3" s="768"/>
      <c r="J3" s="768"/>
      <c r="K3" s="768"/>
      <c r="L3" s="768"/>
      <c r="M3" s="768"/>
      <c r="N3" s="768"/>
      <c r="O3" s="768"/>
    </row>
    <row r="4" spans="1:17" ht="34.5" customHeight="1">
      <c r="A4" s="752" t="s">
        <v>972</v>
      </c>
      <c r="B4" s="753"/>
      <c r="C4" s="754"/>
      <c r="D4" s="754"/>
      <c r="E4" s="755"/>
      <c r="F4" s="756"/>
      <c r="G4" s="755"/>
      <c r="H4" s="756"/>
      <c r="I4" s="756"/>
      <c r="J4" s="756"/>
      <c r="K4" s="756"/>
      <c r="L4" s="756"/>
      <c r="M4" s="756"/>
      <c r="N4" s="756"/>
      <c r="O4" s="757"/>
    </row>
    <row r="5" spans="1:17" ht="45.75" customHeight="1">
      <c r="A5" s="769" t="s">
        <v>970</v>
      </c>
      <c r="B5" s="769"/>
      <c r="C5" s="769"/>
      <c r="D5" s="769"/>
      <c r="E5" s="769"/>
      <c r="F5" s="769"/>
      <c r="G5" s="769"/>
      <c r="H5" s="769"/>
      <c r="I5" s="769"/>
      <c r="J5" s="769"/>
      <c r="K5" s="769"/>
      <c r="L5" s="769"/>
      <c r="M5" s="769"/>
      <c r="N5" s="769"/>
      <c r="O5" s="769"/>
    </row>
    <row r="6" spans="1:17" ht="30" customHeight="1">
      <c r="A6" s="140"/>
      <c r="B6" s="140"/>
      <c r="C6" s="140"/>
      <c r="D6" s="140"/>
      <c r="E6" s="765" t="s">
        <v>95</v>
      </c>
      <c r="F6" s="765"/>
      <c r="G6" s="765"/>
      <c r="H6" s="765"/>
      <c r="I6" s="140"/>
      <c r="J6" s="765" t="s">
        <v>96</v>
      </c>
      <c r="K6" s="765"/>
      <c r="L6" s="765"/>
      <c r="M6" s="765"/>
      <c r="N6" s="765" t="s">
        <v>103</v>
      </c>
      <c r="O6" s="765"/>
    </row>
    <row r="7" spans="1:17" ht="85.5" customHeight="1">
      <c r="A7" s="161"/>
      <c r="B7" s="233" t="s">
        <v>97</v>
      </c>
      <c r="C7" s="161"/>
      <c r="D7" s="266" t="s">
        <v>70</v>
      </c>
      <c r="E7" s="157" t="s">
        <v>102</v>
      </c>
      <c r="F7" s="162" t="s">
        <v>514</v>
      </c>
      <c r="G7" s="157" t="s">
        <v>969</v>
      </c>
      <c r="H7" s="157" t="s">
        <v>731</v>
      </c>
      <c r="I7" s="140"/>
      <c r="J7" s="218" t="s">
        <v>102</v>
      </c>
      <c r="K7" s="157" t="s">
        <v>99</v>
      </c>
      <c r="L7" s="157" t="s">
        <v>968</v>
      </c>
      <c r="M7" s="157" t="s">
        <v>731</v>
      </c>
      <c r="N7" s="157" t="s">
        <v>731</v>
      </c>
      <c r="O7" s="157" t="s">
        <v>610</v>
      </c>
    </row>
    <row r="8" spans="1:17" ht="78.75" customHeight="1">
      <c r="A8" s="766" t="s">
        <v>204</v>
      </c>
      <c r="B8" s="766"/>
      <c r="C8" s="766"/>
      <c r="D8" s="748" t="s">
        <v>816</v>
      </c>
      <c r="E8" s="177">
        <v>1736287500</v>
      </c>
      <c r="F8" s="177">
        <v>0</v>
      </c>
      <c r="G8" s="177">
        <v>2953900000</v>
      </c>
      <c r="H8" s="177">
        <f>SUM(E8:G8)</f>
        <v>4690187500</v>
      </c>
      <c r="I8" s="749"/>
      <c r="J8" s="177">
        <v>220416667</v>
      </c>
      <c r="K8" s="177">
        <v>121540000</v>
      </c>
      <c r="L8" s="177">
        <v>0</v>
      </c>
      <c r="M8" s="750">
        <f>J8+K8-L8</f>
        <v>341956667</v>
      </c>
      <c r="N8" s="177">
        <f>H8-M8</f>
        <v>4348230833</v>
      </c>
      <c r="O8" s="177">
        <f>E8-J8</f>
        <v>1515870833</v>
      </c>
    </row>
    <row r="9" spans="1:17" ht="70.5" customHeight="1">
      <c r="A9" s="766" t="s">
        <v>752</v>
      </c>
      <c r="B9" s="766"/>
      <c r="C9" s="766"/>
      <c r="D9" s="748" t="s">
        <v>678</v>
      </c>
      <c r="E9" s="177">
        <v>26828450000</v>
      </c>
      <c r="F9" s="177">
        <v>0</v>
      </c>
      <c r="G9" s="177">
        <v>207527951</v>
      </c>
      <c r="H9" s="177">
        <f>SUM(E9:G9)</f>
        <v>27035977951</v>
      </c>
      <c r="I9" s="749"/>
      <c r="J9" s="177">
        <v>0</v>
      </c>
      <c r="K9" s="177">
        <v>0</v>
      </c>
      <c r="L9" s="177">
        <v>0</v>
      </c>
      <c r="M9" s="750">
        <f>J9+K9-L9</f>
        <v>0</v>
      </c>
      <c r="N9" s="177">
        <f>H9-M9</f>
        <v>27035977951</v>
      </c>
      <c r="O9" s="177">
        <f>E9-J9</f>
        <v>26828450000</v>
      </c>
    </row>
    <row r="10" spans="1:17" ht="60.75" customHeight="1">
      <c r="A10" s="766" t="s">
        <v>751</v>
      </c>
      <c r="B10" s="766"/>
      <c r="C10" s="766"/>
      <c r="D10" s="751"/>
      <c r="E10" s="177">
        <v>0</v>
      </c>
      <c r="F10" s="177">
        <v>0</v>
      </c>
      <c r="G10" s="177">
        <v>1002800000</v>
      </c>
      <c r="H10" s="177">
        <f>SUM(E10:G10)</f>
        <v>1002800000</v>
      </c>
      <c r="I10" s="749"/>
      <c r="J10" s="177">
        <v>0</v>
      </c>
      <c r="K10" s="177">
        <v>0</v>
      </c>
      <c r="L10" s="177">
        <v>0</v>
      </c>
      <c r="M10" s="750">
        <f>J10+K10-L10</f>
        <v>0</v>
      </c>
      <c r="N10" s="177">
        <f>H10-M10</f>
        <v>1002800000</v>
      </c>
      <c r="O10" s="177">
        <f>E10-J10</f>
        <v>0</v>
      </c>
    </row>
    <row r="11" spans="1:17" ht="69.75" customHeight="1" thickBot="1">
      <c r="A11" s="764" t="s">
        <v>649</v>
      </c>
      <c r="B11" s="764" t="s">
        <v>101</v>
      </c>
      <c r="C11" s="764"/>
      <c r="D11" s="237"/>
      <c r="E11" s="758">
        <f>SUM(E8:E10)</f>
        <v>28564737500</v>
      </c>
      <c r="F11" s="758">
        <f>SUM(F8:F10)</f>
        <v>0</v>
      </c>
      <c r="G11" s="758">
        <f>SUM(G8:G10)</f>
        <v>4164227951</v>
      </c>
      <c r="H11" s="758">
        <f>SUM(H8:H10)</f>
        <v>32728965451</v>
      </c>
      <c r="I11" s="749"/>
      <c r="J11" s="758">
        <f t="shared" ref="J11:O11" si="0">SUM(J8:J10)</f>
        <v>220416667</v>
      </c>
      <c r="K11" s="758">
        <f t="shared" si="0"/>
        <v>121540000</v>
      </c>
      <c r="L11" s="758">
        <f t="shared" si="0"/>
        <v>0</v>
      </c>
      <c r="M11" s="758">
        <f t="shared" si="0"/>
        <v>341956667</v>
      </c>
      <c r="N11" s="758">
        <f t="shared" si="0"/>
        <v>32387008784</v>
      </c>
      <c r="O11" s="758">
        <f t="shared" si="0"/>
        <v>28344320833</v>
      </c>
      <c r="Q11" s="200"/>
    </row>
    <row r="12" spans="1:17" ht="38.25" customHeight="1" thickTop="1">
      <c r="A12" s="91"/>
      <c r="B12" s="91"/>
      <c r="C12" s="91"/>
      <c r="D12" s="91"/>
      <c r="E12" s="198"/>
      <c r="F12" s="91"/>
      <c r="G12" s="34"/>
    </row>
    <row r="13" spans="1:17" ht="30" customHeight="1">
      <c r="E13" s="199"/>
      <c r="F13" s="199"/>
      <c r="G13" s="199"/>
    </row>
    <row r="14" spans="1:17" ht="30" customHeight="1">
      <c r="E14" s="199"/>
      <c r="F14" s="199"/>
      <c r="G14" s="199"/>
      <c r="H14" s="199"/>
    </row>
    <row r="15" spans="1:17" ht="30" customHeight="1">
      <c r="E15" s="34"/>
      <c r="G15" s="34"/>
      <c r="H15" s="200"/>
      <c r="N15" s="200"/>
    </row>
    <row r="16" spans="1:17" ht="30" customHeight="1">
      <c r="E16" s="34"/>
      <c r="G16" s="34"/>
      <c r="H16" s="200"/>
      <c r="N16" s="200"/>
    </row>
    <row r="17" spans="7:7" ht="30" customHeight="1">
      <c r="G17" s="297"/>
    </row>
  </sheetData>
  <mergeCells count="11">
    <mergeCell ref="A1:O1"/>
    <mergeCell ref="A2:O2"/>
    <mergeCell ref="A3:O3"/>
    <mergeCell ref="A5:O5"/>
    <mergeCell ref="A10:C10"/>
    <mergeCell ref="A11:C11"/>
    <mergeCell ref="E6:H6"/>
    <mergeCell ref="J6:M6"/>
    <mergeCell ref="N6:O6"/>
    <mergeCell ref="A8:C8"/>
    <mergeCell ref="A9:C9"/>
  </mergeCells>
  <printOptions horizontalCentered="1"/>
  <pageMargins left="0.15748031496062992" right="0.15748031496062992" top="0.15748031496062992" bottom="0.6692913385826772" header="0.31496062992125984" footer="0.31496062992125984"/>
  <pageSetup paperSize="9" scale="62" orientation="landscape" r:id="rId1"/>
  <headerFooter>
    <oddFooter>&amp;C&amp;"B Titr,Bold"&amp;22 &amp;18 &amp;20 &amp;24 &amp;28 &amp;36 &amp;28 20</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1:W24"/>
  <sheetViews>
    <sheetView rightToLeft="1" view="pageBreakPreview" zoomScale="85" zoomScaleSheetLayoutView="85" workbookViewId="0">
      <selection activeCell="E9" sqref="E9:E10"/>
    </sheetView>
  </sheetViews>
  <sheetFormatPr defaultRowHeight="30" customHeight="1"/>
  <cols>
    <col min="1" max="1" width="9.28515625" style="195" bestFit="1" customWidth="1"/>
    <col min="2" max="2" width="9.140625" style="195"/>
    <col min="3" max="3" width="13.85546875" style="195" customWidth="1"/>
    <col min="4" max="4" width="1.85546875" style="195" customWidth="1"/>
    <col min="5" max="5" width="23.5703125" style="195" bestFit="1" customWidth="1"/>
    <col min="6" max="6" width="17.85546875" style="195" bestFit="1" customWidth="1"/>
    <col min="7" max="7" width="18.85546875" style="195" customWidth="1"/>
    <col min="8" max="8" width="1.28515625" style="195" customWidth="1"/>
    <col min="9" max="9" width="19" style="195" bestFit="1" customWidth="1"/>
    <col min="10" max="10" width="1.7109375" style="195" customWidth="1"/>
    <col min="11" max="11" width="24.140625" style="195" bestFit="1" customWidth="1"/>
    <col min="12" max="12" width="2.140625" style="195" customWidth="1"/>
    <col min="13" max="13" width="7.5703125" style="195" customWidth="1"/>
    <col min="14" max="14" width="2.28515625" style="195" customWidth="1"/>
    <col min="15" max="15" width="8.5703125" style="195" customWidth="1"/>
    <col min="16" max="16" width="1.85546875" style="195" customWidth="1"/>
    <col min="17" max="17" width="7.85546875" style="195" customWidth="1"/>
    <col min="18" max="18" width="1.5703125" style="195" customWidth="1"/>
    <col min="19" max="19" width="8.5703125" style="195" customWidth="1"/>
    <col min="20" max="20" width="1.140625" style="195" customWidth="1"/>
    <col min="21" max="21" width="19.5703125" style="195" customWidth="1"/>
    <col min="22" max="22" width="1.140625" style="195" customWidth="1"/>
    <col min="23" max="23" width="17.7109375" style="195" customWidth="1"/>
    <col min="24" max="16384" width="9.140625" style="195"/>
  </cols>
  <sheetData>
    <row r="1" spans="1:23" ht="30" customHeight="1">
      <c r="A1" s="848" t="s">
        <v>408</v>
      </c>
      <c r="B1" s="848"/>
      <c r="C1" s="848"/>
      <c r="D1" s="848"/>
      <c r="E1" s="848"/>
      <c r="F1" s="848"/>
      <c r="G1" s="848"/>
      <c r="H1" s="848"/>
      <c r="I1" s="848"/>
      <c r="J1" s="848"/>
      <c r="K1" s="848"/>
      <c r="L1" s="848"/>
      <c r="M1" s="848"/>
      <c r="N1" s="848"/>
      <c r="O1" s="848"/>
      <c r="P1" s="848"/>
      <c r="Q1" s="848"/>
      <c r="R1" s="848"/>
      <c r="S1" s="848"/>
      <c r="T1" s="848"/>
      <c r="U1" s="848"/>
      <c r="V1" s="848"/>
      <c r="W1" s="848"/>
    </row>
    <row r="2" spans="1:23" ht="30" customHeight="1">
      <c r="A2" s="849" t="s">
        <v>109</v>
      </c>
      <c r="B2" s="849"/>
      <c r="C2" s="849"/>
      <c r="D2" s="849"/>
      <c r="E2" s="849"/>
      <c r="F2" s="849"/>
      <c r="G2" s="849"/>
      <c r="H2" s="849"/>
      <c r="I2" s="849"/>
      <c r="J2" s="849"/>
      <c r="K2" s="849"/>
      <c r="L2" s="849"/>
      <c r="M2" s="849"/>
      <c r="N2" s="849"/>
      <c r="O2" s="849"/>
      <c r="P2" s="849"/>
      <c r="Q2" s="849"/>
      <c r="R2" s="849"/>
      <c r="S2" s="849"/>
      <c r="T2" s="849"/>
      <c r="U2" s="849"/>
      <c r="V2" s="849"/>
      <c r="W2" s="849"/>
    </row>
    <row r="3" spans="1:23" ht="30" customHeight="1">
      <c r="A3" s="849" t="s">
        <v>605</v>
      </c>
      <c r="B3" s="849"/>
      <c r="C3" s="849"/>
      <c r="D3" s="849"/>
      <c r="E3" s="849"/>
      <c r="F3" s="849"/>
      <c r="G3" s="849"/>
      <c r="H3" s="849"/>
      <c r="I3" s="849"/>
      <c r="J3" s="849"/>
      <c r="K3" s="849"/>
      <c r="L3" s="849"/>
      <c r="M3" s="849"/>
      <c r="N3" s="849"/>
      <c r="O3" s="849"/>
      <c r="P3" s="849"/>
      <c r="Q3" s="849"/>
      <c r="R3" s="849"/>
      <c r="S3" s="849"/>
      <c r="T3" s="849"/>
      <c r="U3" s="849"/>
      <c r="V3" s="849"/>
      <c r="W3" s="849"/>
    </row>
    <row r="4" spans="1:23" ht="30" customHeight="1">
      <c r="A4" s="158">
        <v>-8</v>
      </c>
      <c r="B4" s="203" t="s">
        <v>93</v>
      </c>
      <c r="C4" s="159"/>
      <c r="D4" s="140"/>
      <c r="E4" s="140"/>
      <c r="F4" s="140"/>
      <c r="G4" s="140"/>
      <c r="H4" s="140"/>
      <c r="I4" s="160"/>
      <c r="J4" s="160"/>
      <c r="K4" s="160"/>
      <c r="L4" s="160"/>
      <c r="M4" s="160"/>
      <c r="N4" s="160"/>
      <c r="O4" s="160"/>
      <c r="P4" s="160"/>
      <c r="Q4" s="160"/>
      <c r="R4" s="160"/>
      <c r="S4" s="160"/>
      <c r="T4" s="160"/>
      <c r="U4" s="160"/>
      <c r="V4" s="160"/>
      <c r="W4" s="153"/>
    </row>
    <row r="5" spans="1:23" ht="43.5" customHeight="1">
      <c r="A5" s="810" t="s">
        <v>94</v>
      </c>
      <c r="B5" s="810"/>
      <c r="C5" s="810"/>
      <c r="D5" s="810"/>
      <c r="E5" s="810"/>
      <c r="F5" s="810"/>
      <c r="G5" s="810"/>
      <c r="H5" s="810"/>
      <c r="I5" s="810"/>
      <c r="J5" s="810"/>
      <c r="K5" s="810"/>
      <c r="L5" s="810"/>
      <c r="M5" s="810"/>
      <c r="N5" s="810"/>
      <c r="O5" s="810"/>
      <c r="P5" s="810"/>
      <c r="Q5" s="810"/>
      <c r="R5" s="810"/>
      <c r="S5" s="810"/>
      <c r="T5" s="810"/>
      <c r="U5" s="810"/>
      <c r="V5" s="810"/>
      <c r="W5" s="810"/>
    </row>
    <row r="6" spans="1:23" ht="30" customHeight="1">
      <c r="A6" s="196"/>
      <c r="B6" s="196"/>
      <c r="C6" s="196"/>
      <c r="D6" s="196"/>
      <c r="E6" s="765" t="s">
        <v>95</v>
      </c>
      <c r="F6" s="765"/>
      <c r="G6" s="765"/>
      <c r="H6" s="765"/>
      <c r="I6" s="765"/>
      <c r="J6" s="765"/>
      <c r="K6" s="765"/>
      <c r="L6" s="196"/>
      <c r="M6" s="765" t="s">
        <v>96</v>
      </c>
      <c r="N6" s="765"/>
      <c r="O6" s="765"/>
      <c r="P6" s="765"/>
      <c r="Q6" s="765"/>
      <c r="R6" s="765"/>
      <c r="S6" s="765"/>
      <c r="T6" s="196"/>
      <c r="U6" s="765" t="s">
        <v>103</v>
      </c>
      <c r="V6" s="765"/>
      <c r="W6" s="765"/>
    </row>
    <row r="7" spans="1:23" ht="114">
      <c r="A7" s="140"/>
      <c r="B7" s="205" t="s">
        <v>97</v>
      </c>
      <c r="C7" s="140"/>
      <c r="D7" s="140"/>
      <c r="E7" s="157" t="s">
        <v>102</v>
      </c>
      <c r="F7" s="157" t="s">
        <v>589</v>
      </c>
      <c r="G7" s="157" t="s">
        <v>98</v>
      </c>
      <c r="H7" s="140"/>
      <c r="I7" s="162" t="s">
        <v>514</v>
      </c>
      <c r="J7" s="140"/>
      <c r="K7" s="157" t="s">
        <v>610</v>
      </c>
      <c r="L7" s="196"/>
      <c r="M7" s="157" t="s">
        <v>102</v>
      </c>
      <c r="N7" s="140"/>
      <c r="O7" s="157" t="s">
        <v>99</v>
      </c>
      <c r="P7" s="140"/>
      <c r="Q7" s="141" t="s">
        <v>100</v>
      </c>
      <c r="R7" s="205"/>
      <c r="S7" s="141" t="s">
        <v>611</v>
      </c>
      <c r="T7" s="196"/>
      <c r="U7" s="157" t="s">
        <v>610</v>
      </c>
      <c r="V7" s="140"/>
      <c r="W7" s="157" t="s">
        <v>552</v>
      </c>
    </row>
    <row r="8" spans="1:23" ht="28.5">
      <c r="A8" s="850" t="s">
        <v>643</v>
      </c>
      <c r="B8" s="850"/>
      <c r="C8" s="850"/>
      <c r="D8" s="140"/>
      <c r="E8" s="164"/>
      <c r="F8" s="164"/>
      <c r="G8" s="164"/>
      <c r="H8" s="140"/>
      <c r="I8" s="163"/>
      <c r="J8" s="140"/>
      <c r="K8" s="164"/>
      <c r="L8" s="196"/>
      <c r="M8" s="164"/>
      <c r="N8" s="140"/>
      <c r="O8" s="164"/>
      <c r="P8" s="140"/>
      <c r="Q8" s="207"/>
      <c r="R8" s="205"/>
      <c r="S8" s="207"/>
      <c r="T8" s="196"/>
      <c r="U8" s="164"/>
      <c r="V8" s="140"/>
      <c r="W8" s="164"/>
    </row>
    <row r="9" spans="1:23" ht="25.5" customHeight="1">
      <c r="A9" s="852" t="s">
        <v>640</v>
      </c>
      <c r="B9" s="852"/>
      <c r="C9" s="852"/>
      <c r="D9" s="140"/>
      <c r="E9" s="138">
        <v>6137272530</v>
      </c>
      <c r="F9" s="138"/>
      <c r="G9" s="138">
        <v>1398807450</v>
      </c>
      <c r="H9" s="140"/>
      <c r="I9" s="163">
        <v>0</v>
      </c>
      <c r="J9" s="140"/>
      <c r="K9" s="138">
        <f>G9+E9+I9</f>
        <v>7536079980</v>
      </c>
      <c r="L9" s="196"/>
      <c r="M9" s="164"/>
      <c r="N9" s="140"/>
      <c r="O9" s="164"/>
      <c r="P9" s="140"/>
      <c r="Q9" s="164"/>
      <c r="R9" s="205"/>
      <c r="S9" s="164"/>
      <c r="T9" s="196"/>
      <c r="U9" s="138">
        <f>K9-S9</f>
        <v>7536079980</v>
      </c>
      <c r="V9" s="140"/>
      <c r="W9" s="138">
        <v>6137272530</v>
      </c>
    </row>
    <row r="10" spans="1:23" ht="25.5" customHeight="1">
      <c r="A10" s="852" t="s">
        <v>641</v>
      </c>
      <c r="B10" s="852"/>
      <c r="C10" s="852"/>
      <c r="D10" s="140"/>
      <c r="E10" s="138">
        <v>6280866446</v>
      </c>
      <c r="F10" s="138"/>
      <c r="G10" s="138">
        <v>3190358100</v>
      </c>
      <c r="H10" s="140"/>
      <c r="I10" s="165"/>
      <c r="J10" s="140"/>
      <c r="K10" s="138">
        <f>G10+E10+I10</f>
        <v>9471224546</v>
      </c>
      <c r="L10" s="196"/>
      <c r="M10" s="164"/>
      <c r="N10" s="140"/>
      <c r="O10" s="164"/>
      <c r="P10" s="140"/>
      <c r="Q10" s="164"/>
      <c r="R10" s="205"/>
      <c r="S10" s="164"/>
      <c r="T10" s="196"/>
      <c r="U10" s="138">
        <f>K10-S10</f>
        <v>9471224546</v>
      </c>
      <c r="V10" s="140"/>
      <c r="W10" s="138">
        <v>6280866446</v>
      </c>
    </row>
    <row r="11" spans="1:23" ht="25.5" customHeight="1">
      <c r="A11" s="852" t="s">
        <v>642</v>
      </c>
      <c r="B11" s="852"/>
      <c r="C11" s="852"/>
      <c r="D11" s="140"/>
      <c r="E11" s="138"/>
      <c r="F11" s="138"/>
      <c r="G11" s="138"/>
      <c r="H11" s="140"/>
      <c r="I11" s="165"/>
      <c r="J11" s="140"/>
      <c r="K11" s="138"/>
      <c r="L11" s="196"/>
      <c r="M11" s="164"/>
      <c r="N11" s="140"/>
      <c r="O11" s="164"/>
      <c r="P11" s="140"/>
      <c r="Q11" s="164"/>
      <c r="R11" s="205"/>
      <c r="S11" s="164"/>
      <c r="T11" s="196"/>
      <c r="U11" s="138"/>
      <c r="V11" s="140"/>
      <c r="W11" s="138"/>
    </row>
    <row r="12" spans="1:23" ht="25.5" customHeight="1">
      <c r="A12" s="852" t="s">
        <v>644</v>
      </c>
      <c r="B12" s="852"/>
      <c r="C12" s="852"/>
      <c r="D12" s="140"/>
      <c r="E12" s="138"/>
      <c r="F12" s="138"/>
      <c r="G12" s="138"/>
      <c r="H12" s="140"/>
      <c r="I12" s="165"/>
      <c r="J12" s="140"/>
      <c r="K12" s="138"/>
      <c r="L12" s="196"/>
      <c r="M12" s="164"/>
      <c r="N12" s="140"/>
      <c r="O12" s="164"/>
      <c r="P12" s="140"/>
      <c r="Q12" s="164"/>
      <c r="R12" s="205"/>
      <c r="S12" s="164"/>
      <c r="T12" s="196"/>
      <c r="U12" s="138"/>
      <c r="V12" s="140"/>
      <c r="W12" s="138"/>
    </row>
    <row r="13" spans="1:23" ht="25.5" customHeight="1">
      <c r="A13" s="852" t="s">
        <v>645</v>
      </c>
      <c r="B13" s="852"/>
      <c r="C13" s="852"/>
      <c r="D13" s="140"/>
      <c r="E13" s="138"/>
      <c r="F13" s="138"/>
      <c r="G13" s="138"/>
      <c r="H13" s="140"/>
      <c r="I13" s="165"/>
      <c r="J13" s="140"/>
      <c r="K13" s="138"/>
      <c r="L13" s="196"/>
      <c r="M13" s="164"/>
      <c r="N13" s="140"/>
      <c r="O13" s="164"/>
      <c r="P13" s="140"/>
      <c r="Q13" s="164"/>
      <c r="R13" s="205"/>
      <c r="S13" s="164"/>
      <c r="T13" s="196"/>
      <c r="U13" s="138"/>
      <c r="V13" s="140"/>
      <c r="W13" s="138"/>
    </row>
    <row r="14" spans="1:23" ht="27" customHeight="1">
      <c r="A14" s="206" t="s">
        <v>104</v>
      </c>
      <c r="B14" s="139"/>
      <c r="C14" s="139"/>
      <c r="D14" s="140"/>
      <c r="E14" s="138">
        <v>17140568766</v>
      </c>
      <c r="F14" s="138"/>
      <c r="G14" s="138">
        <v>678251626</v>
      </c>
      <c r="H14" s="140"/>
      <c r="I14" s="165"/>
      <c r="J14" s="140"/>
      <c r="K14" s="138">
        <f>G14+E14+I14+F14</f>
        <v>17818820392</v>
      </c>
      <c r="L14" s="196"/>
      <c r="M14" s="138">
        <v>0</v>
      </c>
      <c r="N14" s="140"/>
      <c r="O14" s="138">
        <v>0</v>
      </c>
      <c r="P14" s="140"/>
      <c r="Q14" s="138">
        <v>0</v>
      </c>
      <c r="R14" s="140"/>
      <c r="S14" s="138">
        <v>0</v>
      </c>
      <c r="T14" s="196"/>
      <c r="U14" s="138">
        <f>K14-S14</f>
        <v>17818820392</v>
      </c>
      <c r="V14" s="140"/>
      <c r="W14" s="138">
        <v>17140568766</v>
      </c>
    </row>
    <row r="15" spans="1:23" ht="27">
      <c r="A15" s="852" t="s">
        <v>505</v>
      </c>
      <c r="B15" s="852"/>
      <c r="C15" s="852"/>
      <c r="D15" s="140"/>
      <c r="E15" s="138">
        <v>0</v>
      </c>
      <c r="F15" s="138"/>
      <c r="G15" s="138"/>
      <c r="H15" s="140"/>
      <c r="I15" s="165"/>
      <c r="J15" s="140"/>
      <c r="K15" s="138">
        <f>G15+E15+I15+F15</f>
        <v>0</v>
      </c>
      <c r="L15" s="196"/>
      <c r="M15" s="138"/>
      <c r="N15" s="140"/>
      <c r="O15" s="138"/>
      <c r="P15" s="140"/>
      <c r="Q15" s="138"/>
      <c r="R15" s="140"/>
      <c r="S15" s="138"/>
      <c r="T15" s="196"/>
      <c r="U15" s="138">
        <f>K15-S15</f>
        <v>0</v>
      </c>
      <c r="V15" s="140"/>
      <c r="W15" s="138">
        <v>0</v>
      </c>
    </row>
    <row r="16" spans="1:23" ht="30" customHeight="1">
      <c r="A16" s="202" t="s">
        <v>513</v>
      </c>
      <c r="B16" s="206"/>
      <c r="C16" s="206"/>
      <c r="D16" s="140"/>
      <c r="E16" s="138"/>
      <c r="F16" s="166"/>
      <c r="G16" s="138">
        <v>0</v>
      </c>
      <c r="H16" s="140"/>
      <c r="I16" s="167"/>
      <c r="J16" s="140"/>
      <c r="K16" s="138">
        <f>G16+E16+I16+F16</f>
        <v>0</v>
      </c>
      <c r="L16" s="196"/>
      <c r="M16" s="138"/>
      <c r="N16" s="140"/>
      <c r="O16" s="138"/>
      <c r="P16" s="140"/>
      <c r="Q16" s="138"/>
      <c r="R16" s="140"/>
      <c r="S16" s="138"/>
      <c r="T16" s="196"/>
      <c r="U16" s="138">
        <f>K16-S16</f>
        <v>0</v>
      </c>
      <c r="V16" s="140"/>
      <c r="W16" s="138"/>
    </row>
    <row r="17" spans="1:23" ht="30" customHeight="1" thickBot="1">
      <c r="A17" s="810" t="s">
        <v>45</v>
      </c>
      <c r="B17" s="810" t="s">
        <v>101</v>
      </c>
      <c r="C17" s="810"/>
      <c r="D17" s="140"/>
      <c r="E17" s="168">
        <f>SUM(E8:E16)</f>
        <v>29558707742</v>
      </c>
      <c r="F17" s="168">
        <f t="shared" ref="F17:W17" si="0">SUM(F8:F16)</f>
        <v>0</v>
      </c>
      <c r="G17" s="168">
        <f t="shared" si="0"/>
        <v>5267417176</v>
      </c>
      <c r="H17" s="140"/>
      <c r="I17" s="168">
        <f t="shared" si="0"/>
        <v>0</v>
      </c>
      <c r="J17" s="140"/>
      <c r="K17" s="168">
        <f t="shared" si="0"/>
        <v>34826124918</v>
      </c>
      <c r="L17" s="196"/>
      <c r="M17" s="168">
        <f t="shared" si="0"/>
        <v>0</v>
      </c>
      <c r="N17" s="140"/>
      <c r="O17" s="168">
        <f t="shared" si="0"/>
        <v>0</v>
      </c>
      <c r="P17" s="140"/>
      <c r="Q17" s="168">
        <f t="shared" si="0"/>
        <v>0</v>
      </c>
      <c r="R17" s="140"/>
      <c r="S17" s="168">
        <f t="shared" si="0"/>
        <v>0</v>
      </c>
      <c r="T17" s="196"/>
      <c r="U17" s="209">
        <f t="shared" si="0"/>
        <v>34826124918</v>
      </c>
      <c r="V17" s="140"/>
      <c r="W17" s="209">
        <f t="shared" si="0"/>
        <v>29558707742</v>
      </c>
    </row>
    <row r="18" spans="1:23" ht="30" customHeight="1" thickTop="1">
      <c r="A18" s="197"/>
      <c r="B18" s="196"/>
      <c r="C18" s="196"/>
      <c r="D18" s="196"/>
      <c r="E18" s="34"/>
      <c r="F18" s="34"/>
      <c r="G18" s="34"/>
      <c r="H18" s="196"/>
      <c r="I18" s="34"/>
      <c r="J18" s="196"/>
      <c r="K18" s="34"/>
      <c r="L18" s="196"/>
      <c r="M18" s="34"/>
      <c r="N18" s="196"/>
      <c r="O18" s="34"/>
      <c r="P18" s="196"/>
      <c r="Q18" s="34"/>
      <c r="R18" s="196"/>
      <c r="S18" s="34"/>
      <c r="T18" s="196"/>
      <c r="U18" s="34"/>
      <c r="V18" s="196"/>
      <c r="W18" s="34"/>
    </row>
    <row r="19" spans="1:23" ht="30" customHeight="1">
      <c r="A19" s="91" t="s">
        <v>590</v>
      </c>
      <c r="B19" s="91"/>
      <c r="C19" s="91"/>
      <c r="D19" s="91"/>
      <c r="E19" s="201"/>
      <c r="F19" s="198"/>
      <c r="G19" s="34"/>
      <c r="H19" s="91"/>
      <c r="I19" s="91"/>
    </row>
    <row r="20" spans="1:23" ht="30" customHeight="1">
      <c r="E20" s="199"/>
      <c r="F20" s="199"/>
      <c r="G20" s="199"/>
      <c r="I20" s="199"/>
      <c r="J20" s="199"/>
      <c r="K20" s="199"/>
    </row>
    <row r="21" spans="1:23" ht="30" customHeight="1">
      <c r="B21" s="195" t="s">
        <v>616</v>
      </c>
      <c r="E21" s="34"/>
      <c r="F21" s="34"/>
      <c r="G21" s="34"/>
      <c r="K21" s="200"/>
    </row>
    <row r="22" spans="1:23" ht="30" customHeight="1">
      <c r="E22" s="34"/>
      <c r="F22" s="34"/>
      <c r="G22" s="34"/>
      <c r="K22" s="200"/>
    </row>
    <row r="23" spans="1:23" ht="30" customHeight="1">
      <c r="E23" s="34"/>
      <c r="F23" s="34"/>
      <c r="G23" s="34"/>
      <c r="K23" s="200"/>
    </row>
    <row r="24" spans="1:23" ht="30" customHeight="1">
      <c r="K24" s="853"/>
      <c r="L24" s="853"/>
      <c r="M24" s="853"/>
    </row>
  </sheetData>
  <mergeCells count="16">
    <mergeCell ref="A1:W1"/>
    <mergeCell ref="A2:W2"/>
    <mergeCell ref="A3:W3"/>
    <mergeCell ref="A5:W5"/>
    <mergeCell ref="E6:K6"/>
    <mergeCell ref="M6:S6"/>
    <mergeCell ref="U6:W6"/>
    <mergeCell ref="A15:C15"/>
    <mergeCell ref="A17:C17"/>
    <mergeCell ref="K24:M24"/>
    <mergeCell ref="A8:C8"/>
    <mergeCell ref="A9:C9"/>
    <mergeCell ref="A10:C10"/>
    <mergeCell ref="A11:C11"/>
    <mergeCell ref="A12:C12"/>
    <mergeCell ref="A13:C13"/>
  </mergeCells>
  <printOptions horizontalCentered="1" verticalCentered="1"/>
  <pageMargins left="0.23622047244094491" right="0.23622047244094491" top="0.15748031496062992" bottom="0.74803149606299213" header="0.31496062992125984" footer="0.31496062992125984"/>
  <pageSetup paperSize="9" scale="63" orientation="landscape" r:id="rId1"/>
  <headerFooter>
    <oddFooter>&amp;C&amp;"B Titr,Bold"&amp;22 &amp;18 17</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Q33"/>
  <sheetViews>
    <sheetView rightToLeft="1" view="pageBreakPreview" topLeftCell="A4" zoomScale="70" zoomScaleSheetLayoutView="70" workbookViewId="0">
      <selection activeCell="I7" sqref="I7"/>
    </sheetView>
  </sheetViews>
  <sheetFormatPr defaultRowHeight="30" customHeight="1"/>
  <cols>
    <col min="1" max="1" width="9.28515625" style="195" bestFit="1" customWidth="1"/>
    <col min="2" max="2" width="9.140625" style="195"/>
    <col min="3" max="3" width="13.85546875" style="195" customWidth="1"/>
    <col min="4" max="4" width="21.42578125" style="195" bestFit="1" customWidth="1"/>
    <col min="5" max="6" width="20" style="195" customWidth="1"/>
    <col min="7" max="7" width="18.85546875" style="195" customWidth="1"/>
    <col min="8" max="8" width="13.85546875" style="195" customWidth="1"/>
    <col min="9" max="9" width="21.42578125" style="195" customWidth="1"/>
    <col min="10" max="10" width="1.140625" style="195" customWidth="1"/>
    <col min="11" max="11" width="7.5703125" style="195" customWidth="1"/>
    <col min="12" max="12" width="15.5703125" style="195" customWidth="1"/>
    <col min="13" max="13" width="16.5703125" style="195" customWidth="1"/>
    <col min="14" max="14" width="7.85546875" style="195" customWidth="1"/>
    <col min="15" max="15" width="15.7109375" style="195" customWidth="1"/>
    <col min="16" max="16" width="19.5703125" style="195" customWidth="1"/>
    <col min="17" max="17" width="17.7109375" style="195" customWidth="1"/>
    <col min="18" max="16384" width="9.140625" style="195"/>
  </cols>
  <sheetData>
    <row r="1" spans="1:17" ht="30" customHeight="1">
      <c r="A1" s="848" t="s">
        <v>671</v>
      </c>
      <c r="B1" s="848"/>
      <c r="C1" s="848"/>
      <c r="D1" s="848"/>
      <c r="E1" s="848"/>
      <c r="F1" s="848"/>
      <c r="G1" s="848"/>
      <c r="H1" s="848"/>
      <c r="I1" s="848"/>
      <c r="J1" s="848"/>
      <c r="K1" s="848"/>
      <c r="L1" s="848"/>
      <c r="M1" s="848"/>
      <c r="N1" s="848"/>
      <c r="O1" s="848"/>
      <c r="P1" s="848"/>
      <c r="Q1" s="848"/>
    </row>
    <row r="2" spans="1:17" ht="30" customHeight="1">
      <c r="A2" s="849" t="s">
        <v>109</v>
      </c>
      <c r="B2" s="849"/>
      <c r="C2" s="849"/>
      <c r="D2" s="849"/>
      <c r="E2" s="849"/>
      <c r="F2" s="849"/>
      <c r="G2" s="849"/>
      <c r="H2" s="849"/>
      <c r="I2" s="849"/>
      <c r="J2" s="849"/>
      <c r="K2" s="849"/>
      <c r="L2" s="849"/>
      <c r="M2" s="849"/>
      <c r="N2" s="849"/>
      <c r="O2" s="849"/>
      <c r="P2" s="849"/>
      <c r="Q2" s="849"/>
    </row>
    <row r="3" spans="1:17" ht="30" customHeight="1">
      <c r="A3" s="849" t="s">
        <v>605</v>
      </c>
      <c r="B3" s="849"/>
      <c r="C3" s="849"/>
      <c r="D3" s="849"/>
      <c r="E3" s="849"/>
      <c r="F3" s="849"/>
      <c r="G3" s="849"/>
      <c r="H3" s="849"/>
      <c r="I3" s="849"/>
      <c r="J3" s="849"/>
      <c r="K3" s="849"/>
      <c r="L3" s="849"/>
      <c r="M3" s="849"/>
      <c r="N3" s="849"/>
      <c r="O3" s="849"/>
      <c r="P3" s="849"/>
      <c r="Q3" s="849"/>
    </row>
    <row r="4" spans="1:17" ht="30" customHeight="1">
      <c r="A4" s="158">
        <v>-8</v>
      </c>
      <c r="B4" s="158" t="s">
        <v>93</v>
      </c>
      <c r="C4" s="159"/>
      <c r="D4" s="140"/>
      <c r="E4" s="140"/>
      <c r="F4" s="140"/>
      <c r="G4" s="140"/>
      <c r="H4" s="160"/>
      <c r="I4" s="160"/>
      <c r="J4" s="160"/>
      <c r="K4" s="160"/>
      <c r="L4" s="160"/>
      <c r="M4" s="160"/>
      <c r="N4" s="160"/>
      <c r="O4" s="160"/>
      <c r="P4" s="160"/>
      <c r="Q4" s="153"/>
    </row>
    <row r="5" spans="1:17" ht="43.5" customHeight="1">
      <c r="A5" s="851" t="s">
        <v>94</v>
      </c>
      <c r="B5" s="851"/>
      <c r="C5" s="851"/>
      <c r="D5" s="851"/>
      <c r="E5" s="851"/>
      <c r="F5" s="851"/>
      <c r="G5" s="851"/>
      <c r="H5" s="851"/>
      <c r="I5" s="851"/>
      <c r="J5" s="851"/>
      <c r="K5" s="851"/>
      <c r="L5" s="851"/>
      <c r="M5" s="851"/>
      <c r="N5" s="851"/>
      <c r="O5" s="851"/>
      <c r="P5" s="851"/>
      <c r="Q5" s="851"/>
    </row>
    <row r="6" spans="1:17" ht="30" customHeight="1">
      <c r="A6" s="196"/>
      <c r="B6" s="196"/>
      <c r="C6" s="196"/>
      <c r="D6" s="765" t="s">
        <v>95</v>
      </c>
      <c r="E6" s="765"/>
      <c r="F6" s="765"/>
      <c r="G6" s="765"/>
      <c r="H6" s="765"/>
      <c r="I6" s="765"/>
      <c r="J6" s="196"/>
      <c r="K6" s="765" t="s">
        <v>96</v>
      </c>
      <c r="L6" s="765"/>
      <c r="M6" s="765"/>
      <c r="N6" s="765"/>
      <c r="O6" s="765"/>
      <c r="P6" s="765" t="s">
        <v>103</v>
      </c>
      <c r="Q6" s="765"/>
    </row>
    <row r="7" spans="1:17" ht="90">
      <c r="A7" s="140"/>
      <c r="B7" s="205" t="s">
        <v>97</v>
      </c>
      <c r="C7" s="214"/>
      <c r="D7" s="215" t="s">
        <v>102</v>
      </c>
      <c r="E7" s="229" t="s">
        <v>589</v>
      </c>
      <c r="F7" s="215" t="s">
        <v>646</v>
      </c>
      <c r="G7" s="215" t="s">
        <v>98</v>
      </c>
      <c r="H7" s="216" t="s">
        <v>514</v>
      </c>
      <c r="I7" s="215" t="s">
        <v>610</v>
      </c>
      <c r="J7" s="217"/>
      <c r="K7" s="218" t="s">
        <v>102</v>
      </c>
      <c r="L7" s="215" t="s">
        <v>589</v>
      </c>
      <c r="M7" s="215" t="s">
        <v>99</v>
      </c>
      <c r="N7" s="225" t="s">
        <v>100</v>
      </c>
      <c r="O7" s="215" t="s">
        <v>611</v>
      </c>
      <c r="P7" s="215" t="s">
        <v>610</v>
      </c>
      <c r="Q7" s="215" t="s">
        <v>552</v>
      </c>
    </row>
    <row r="8" spans="1:17" ht="28.5">
      <c r="A8" s="850" t="s">
        <v>643</v>
      </c>
      <c r="B8" s="850"/>
      <c r="C8" s="850"/>
      <c r="D8" s="138">
        <v>0</v>
      </c>
      <c r="E8" s="138">
        <v>560247500000</v>
      </c>
      <c r="F8" s="138">
        <f t="shared" ref="F8:F13" si="0">E8+D8</f>
        <v>560247500000</v>
      </c>
      <c r="G8" s="164"/>
      <c r="H8" s="163"/>
      <c r="I8" s="138">
        <f t="shared" ref="I8:I15" si="1">G8+D8+H8+E8</f>
        <v>560247500000</v>
      </c>
      <c r="J8" s="196"/>
      <c r="K8" s="138">
        <v>0</v>
      </c>
      <c r="L8" s="138">
        <v>0</v>
      </c>
      <c r="M8" s="138"/>
      <c r="N8" s="207"/>
      <c r="O8" s="138">
        <f t="shared" ref="O8:O13" si="2">K8+L8+M8-N8</f>
        <v>0</v>
      </c>
      <c r="P8" s="138">
        <f t="shared" ref="P8:P15" si="3">I8-O8</f>
        <v>560247500000</v>
      </c>
      <c r="Q8" s="164">
        <v>0</v>
      </c>
    </row>
    <row r="9" spans="1:17" ht="25.5" customHeight="1">
      <c r="A9" s="852" t="s">
        <v>642</v>
      </c>
      <c r="B9" s="852"/>
      <c r="C9" s="852"/>
      <c r="D9" s="138">
        <v>0</v>
      </c>
      <c r="E9" s="138">
        <v>338859668880</v>
      </c>
      <c r="F9" s="138">
        <f t="shared" si="0"/>
        <v>338859668880</v>
      </c>
      <c r="G9" s="138">
        <f>678251626+3190358100</f>
        <v>3868609726</v>
      </c>
      <c r="H9" s="165"/>
      <c r="I9" s="138">
        <f t="shared" si="1"/>
        <v>342728278606</v>
      </c>
      <c r="J9" s="196"/>
      <c r="K9" s="138">
        <v>0</v>
      </c>
      <c r="L9" s="138">
        <v>5190117957</v>
      </c>
      <c r="M9" s="211">
        <v>5661946862</v>
      </c>
      <c r="N9" s="164"/>
      <c r="O9" s="211">
        <f t="shared" si="2"/>
        <v>10852064819</v>
      </c>
      <c r="P9" s="138">
        <f t="shared" si="3"/>
        <v>331876213787</v>
      </c>
      <c r="Q9" s="138">
        <v>0</v>
      </c>
    </row>
    <row r="10" spans="1:17" ht="25.5" customHeight="1">
      <c r="A10" s="852" t="s">
        <v>640</v>
      </c>
      <c r="B10" s="852"/>
      <c r="C10" s="852"/>
      <c r="D10" s="138">
        <v>6137272530</v>
      </c>
      <c r="E10" s="138">
        <f>12597041650-D10+1848771</f>
        <v>6461617891</v>
      </c>
      <c r="F10" s="138">
        <f t="shared" si="0"/>
        <v>12598890421</v>
      </c>
      <c r="G10" s="138">
        <f>1398807450</f>
        <v>1398807450</v>
      </c>
      <c r="H10" s="138"/>
      <c r="I10" s="138">
        <f t="shared" si="1"/>
        <v>13997697871</v>
      </c>
      <c r="J10" s="196"/>
      <c r="K10" s="138">
        <v>0</v>
      </c>
      <c r="L10" s="138">
        <f>1836702446+139248740</f>
        <v>1975951186</v>
      </c>
      <c r="M10" s="211">
        <v>2653120085</v>
      </c>
      <c r="N10" s="164"/>
      <c r="O10" s="138">
        <f t="shared" si="2"/>
        <v>4629071271</v>
      </c>
      <c r="P10" s="138">
        <f t="shared" si="3"/>
        <v>9368626600</v>
      </c>
      <c r="Q10" s="138">
        <v>6137272530</v>
      </c>
    </row>
    <row r="11" spans="1:17" ht="25.5" customHeight="1">
      <c r="A11" s="852" t="s">
        <v>647</v>
      </c>
      <c r="B11" s="852"/>
      <c r="C11" s="852"/>
      <c r="D11" s="138">
        <v>6280866446</v>
      </c>
      <c r="E11" s="230">
        <f>4663162500+200000000-D11</f>
        <v>-1417703946</v>
      </c>
      <c r="F11" s="138">
        <f t="shared" si="0"/>
        <v>4863162500</v>
      </c>
      <c r="G11" s="138"/>
      <c r="H11" s="165"/>
      <c r="I11" s="138">
        <f t="shared" si="1"/>
        <v>4863162500</v>
      </c>
      <c r="J11" s="196"/>
      <c r="K11" s="138">
        <v>0</v>
      </c>
      <c r="L11" s="138">
        <f>522908204+3055556+11952334</f>
        <v>537916094</v>
      </c>
      <c r="M11" s="211">
        <f>651001937+3333333</f>
        <v>654335270</v>
      </c>
      <c r="N11" s="164"/>
      <c r="O11" s="138">
        <f t="shared" si="2"/>
        <v>1192251364</v>
      </c>
      <c r="P11" s="138">
        <f t="shared" si="3"/>
        <v>3670911136</v>
      </c>
      <c r="Q11" s="138">
        <v>6280866446</v>
      </c>
    </row>
    <row r="12" spans="1:17" ht="25.5" customHeight="1">
      <c r="A12" s="852" t="s">
        <v>645</v>
      </c>
      <c r="B12" s="852"/>
      <c r="C12" s="852"/>
      <c r="D12" s="138">
        <v>0</v>
      </c>
      <c r="E12" s="138">
        <v>351750002</v>
      </c>
      <c r="F12" s="138">
        <f t="shared" si="0"/>
        <v>351750002</v>
      </c>
      <c r="G12" s="138"/>
      <c r="H12" s="165"/>
      <c r="I12" s="138">
        <f t="shared" si="1"/>
        <v>351750002</v>
      </c>
      <c r="J12" s="196"/>
      <c r="K12" s="138">
        <v>0</v>
      </c>
      <c r="L12" s="138">
        <v>22762363</v>
      </c>
      <c r="M12" s="211">
        <v>24831666</v>
      </c>
      <c r="N12" s="164"/>
      <c r="O12" s="138">
        <f t="shared" si="2"/>
        <v>47594029</v>
      </c>
      <c r="P12" s="138">
        <f t="shared" si="3"/>
        <v>304155973</v>
      </c>
      <c r="Q12" s="138">
        <v>0</v>
      </c>
    </row>
    <row r="13" spans="1:17" ht="27" customHeight="1">
      <c r="A13" s="206" t="s">
        <v>104</v>
      </c>
      <c r="B13" s="139"/>
      <c r="C13" s="139"/>
      <c r="D13" s="138">
        <v>17140568766</v>
      </c>
      <c r="E13" s="231">
        <v>-17140568766</v>
      </c>
      <c r="F13" s="138">
        <f t="shared" si="0"/>
        <v>0</v>
      </c>
      <c r="G13" s="138"/>
      <c r="H13" s="165"/>
      <c r="I13" s="138">
        <f t="shared" si="1"/>
        <v>0</v>
      </c>
      <c r="J13" s="196"/>
      <c r="K13" s="138">
        <v>0</v>
      </c>
      <c r="L13" s="140"/>
      <c r="M13" s="138">
        <v>0</v>
      </c>
      <c r="N13" s="138">
        <v>0</v>
      </c>
      <c r="O13" s="138">
        <f t="shared" si="2"/>
        <v>0</v>
      </c>
      <c r="P13" s="138">
        <f t="shared" si="3"/>
        <v>0</v>
      </c>
      <c r="Q13" s="138">
        <v>17140568766</v>
      </c>
    </row>
    <row r="14" spans="1:17" ht="27" hidden="1">
      <c r="A14" s="852" t="s">
        <v>505</v>
      </c>
      <c r="B14" s="852"/>
      <c r="C14" s="852"/>
      <c r="D14" s="138">
        <v>0</v>
      </c>
      <c r="E14" s="138"/>
      <c r="F14" s="138"/>
      <c r="G14" s="138"/>
      <c r="H14" s="165"/>
      <c r="I14" s="138">
        <f t="shared" si="1"/>
        <v>0</v>
      </c>
      <c r="J14" s="196"/>
      <c r="K14" s="138"/>
      <c r="L14" s="140"/>
      <c r="M14" s="138"/>
      <c r="N14" s="138"/>
      <c r="O14" s="138"/>
      <c r="P14" s="138">
        <f t="shared" si="3"/>
        <v>0</v>
      </c>
      <c r="Q14" s="138">
        <v>0</v>
      </c>
    </row>
    <row r="15" spans="1:17" ht="30" hidden="1" customHeight="1">
      <c r="A15" s="206" t="s">
        <v>513</v>
      </c>
      <c r="B15" s="206"/>
      <c r="C15" s="206"/>
      <c r="D15" s="138"/>
      <c r="E15" s="166"/>
      <c r="F15" s="167"/>
      <c r="G15" s="138">
        <v>0</v>
      </c>
      <c r="H15" s="167"/>
      <c r="I15" s="138">
        <f t="shared" si="1"/>
        <v>0</v>
      </c>
      <c r="J15" s="196"/>
      <c r="K15" s="138"/>
      <c r="L15" s="140"/>
      <c r="M15" s="138"/>
      <c r="N15" s="138"/>
      <c r="O15" s="138"/>
      <c r="P15" s="138">
        <f t="shared" si="3"/>
        <v>0</v>
      </c>
      <c r="Q15" s="138"/>
    </row>
    <row r="16" spans="1:17" ht="30" customHeight="1" thickBot="1">
      <c r="A16" s="851" t="s">
        <v>649</v>
      </c>
      <c r="B16" s="851" t="s">
        <v>101</v>
      </c>
      <c r="C16" s="851"/>
      <c r="D16" s="208">
        <f t="shared" ref="D16:I16" si="4">SUM(D8:D15)</f>
        <v>29558707742</v>
      </c>
      <c r="E16" s="208">
        <f t="shared" si="4"/>
        <v>887362264061</v>
      </c>
      <c r="F16" s="208">
        <f t="shared" si="4"/>
        <v>916920971803</v>
      </c>
      <c r="G16" s="168">
        <f t="shared" si="4"/>
        <v>5267417176</v>
      </c>
      <c r="H16" s="208">
        <f t="shared" si="4"/>
        <v>0</v>
      </c>
      <c r="I16" s="208">
        <f t="shared" si="4"/>
        <v>922188388979</v>
      </c>
      <c r="J16" s="196"/>
      <c r="K16" s="168">
        <f t="shared" ref="K16:Q16" si="5">SUM(K8:K15)</f>
        <v>0</v>
      </c>
      <c r="L16" s="209">
        <f t="shared" si="5"/>
        <v>7726747600</v>
      </c>
      <c r="M16" s="209">
        <f t="shared" si="5"/>
        <v>8994233883</v>
      </c>
      <c r="N16" s="168">
        <f t="shared" si="5"/>
        <v>0</v>
      </c>
      <c r="O16" s="209">
        <f>SUM(O8:O15)</f>
        <v>16720981483</v>
      </c>
      <c r="P16" s="209">
        <f t="shared" si="5"/>
        <v>905467407496</v>
      </c>
      <c r="Q16" s="209">
        <f t="shared" si="5"/>
        <v>29558707742</v>
      </c>
    </row>
    <row r="17" spans="1:17" ht="30" customHeight="1" thickTop="1">
      <c r="A17" s="205"/>
      <c r="B17" s="205"/>
      <c r="C17" s="205"/>
      <c r="D17" s="220"/>
      <c r="E17" s="220"/>
      <c r="F17" s="220" t="s">
        <v>670</v>
      </c>
      <c r="G17" s="221"/>
      <c r="H17" s="220"/>
      <c r="I17" s="220"/>
      <c r="J17" s="196"/>
      <c r="K17" s="221"/>
      <c r="L17" s="222"/>
      <c r="M17" s="222"/>
      <c r="N17" s="221"/>
      <c r="O17" s="222"/>
      <c r="P17" s="222"/>
      <c r="Q17" s="222"/>
    </row>
    <row r="18" spans="1:17" ht="30" customHeight="1">
      <c r="A18" s="158">
        <v>-9</v>
      </c>
      <c r="B18" s="158" t="s">
        <v>651</v>
      </c>
      <c r="C18" s="159"/>
      <c r="D18" s="140"/>
      <c r="E18" s="140"/>
      <c r="F18" s="138">
        <f>F17-F16</f>
        <v>4709015729</v>
      </c>
      <c r="G18" s="140"/>
      <c r="H18" s="160"/>
      <c r="I18" s="160"/>
      <c r="J18" s="160"/>
      <c r="K18" s="160"/>
      <c r="L18" s="160"/>
      <c r="M18" s="160"/>
      <c r="N18" s="160"/>
      <c r="O18" s="160"/>
      <c r="P18" s="160"/>
      <c r="Q18" s="153"/>
    </row>
    <row r="19" spans="1:17" ht="30" customHeight="1">
      <c r="A19" s="196"/>
      <c r="B19" s="196"/>
      <c r="C19" s="196"/>
      <c r="D19" s="765" t="s">
        <v>95</v>
      </c>
      <c r="E19" s="765"/>
      <c r="F19" s="765"/>
      <c r="G19" s="765"/>
      <c r="H19" s="765"/>
      <c r="I19" s="765"/>
      <c r="J19" s="196"/>
      <c r="K19" s="765" t="s">
        <v>96</v>
      </c>
      <c r="L19" s="765"/>
      <c r="M19" s="765"/>
      <c r="N19" s="765"/>
      <c r="O19" s="765"/>
      <c r="P19" s="765" t="s">
        <v>103</v>
      </c>
      <c r="Q19" s="765"/>
    </row>
    <row r="20" spans="1:17" ht="90">
      <c r="A20" s="161"/>
      <c r="B20" s="233" t="s">
        <v>97</v>
      </c>
      <c r="C20" s="226"/>
      <c r="D20" s="215" t="s">
        <v>102</v>
      </c>
      <c r="E20" s="229" t="s">
        <v>589</v>
      </c>
      <c r="F20" s="215" t="s">
        <v>646</v>
      </c>
      <c r="G20" s="215" t="s">
        <v>98</v>
      </c>
      <c r="H20" s="216" t="s">
        <v>514</v>
      </c>
      <c r="I20" s="215" t="s">
        <v>610</v>
      </c>
      <c r="J20" s="217"/>
      <c r="K20" s="218" t="s">
        <v>102</v>
      </c>
      <c r="L20" s="215" t="s">
        <v>589</v>
      </c>
      <c r="M20" s="215" t="s">
        <v>99</v>
      </c>
      <c r="N20" s="225" t="s">
        <v>100</v>
      </c>
      <c r="O20" s="215" t="s">
        <v>611</v>
      </c>
      <c r="P20" s="215" t="s">
        <v>610</v>
      </c>
      <c r="Q20" s="215" t="s">
        <v>552</v>
      </c>
    </row>
    <row r="21" spans="1:17" ht="30" customHeight="1">
      <c r="A21" s="852" t="s">
        <v>648</v>
      </c>
      <c r="B21" s="852"/>
      <c r="C21" s="852"/>
      <c r="D21" s="223">
        <v>0</v>
      </c>
      <c r="E21" s="232">
        <v>19505000000</v>
      </c>
      <c r="F21" s="177">
        <f>E21+D21</f>
        <v>19505000000</v>
      </c>
      <c r="G21" s="177"/>
      <c r="H21" s="177"/>
      <c r="I21" s="177">
        <f>F21+G21+H21</f>
        <v>19505000000</v>
      </c>
      <c r="J21" s="224"/>
      <c r="K21" s="177"/>
      <c r="L21" s="177"/>
      <c r="M21" s="177"/>
      <c r="N21" s="177"/>
      <c r="O21" s="177">
        <f>K21+L21+M21-N21</f>
        <v>0</v>
      </c>
      <c r="P21" s="177">
        <f>I21-O21</f>
        <v>19505000000</v>
      </c>
      <c r="Q21" s="177">
        <f>D21</f>
        <v>0</v>
      </c>
    </row>
    <row r="22" spans="1:17" ht="30" customHeight="1">
      <c r="A22" s="852" t="s">
        <v>499</v>
      </c>
      <c r="B22" s="852"/>
      <c r="C22" s="852"/>
      <c r="D22" s="177">
        <v>31854000</v>
      </c>
      <c r="E22" s="228">
        <v>3260000000</v>
      </c>
      <c r="F22" s="177">
        <f>E22+D22</f>
        <v>3291854000</v>
      </c>
      <c r="G22" s="177">
        <v>1396476000</v>
      </c>
      <c r="H22" s="177"/>
      <c r="I22" s="177">
        <f>F22+G22+H22</f>
        <v>4688330000</v>
      </c>
      <c r="J22" s="196"/>
      <c r="K22" s="177"/>
      <c r="L22" s="177"/>
      <c r="M22" s="177"/>
      <c r="N22" s="177"/>
      <c r="O22" s="177">
        <f>K22+L22+M22-N22</f>
        <v>0</v>
      </c>
      <c r="P22" s="177">
        <f>I22-O22</f>
        <v>4688330000</v>
      </c>
      <c r="Q22" s="177">
        <f>D22</f>
        <v>31854000</v>
      </c>
    </row>
    <row r="23" spans="1:17" ht="30" customHeight="1">
      <c r="A23" s="852" t="s">
        <v>553</v>
      </c>
      <c r="B23" s="852"/>
      <c r="C23" s="852"/>
      <c r="D23" s="177">
        <v>7120000</v>
      </c>
      <c r="E23" s="228">
        <v>1830000000</v>
      </c>
      <c r="F23" s="177">
        <f>E23+D23</f>
        <v>1837120000</v>
      </c>
      <c r="G23" s="177"/>
      <c r="H23" s="177"/>
      <c r="I23" s="177">
        <f>F23+G23+H23</f>
        <v>1837120000</v>
      </c>
      <c r="J23" s="196"/>
      <c r="K23" s="177"/>
      <c r="L23" s="177"/>
      <c r="M23" s="177"/>
      <c r="N23" s="177"/>
      <c r="O23" s="177">
        <f>K23+L23+M23-N23</f>
        <v>0</v>
      </c>
      <c r="P23" s="177">
        <f>I23-O23</f>
        <v>1837120000</v>
      </c>
      <c r="Q23" s="177">
        <f>D23</f>
        <v>7120000</v>
      </c>
    </row>
    <row r="24" spans="1:17" ht="30" customHeight="1">
      <c r="A24" s="852" t="s">
        <v>650</v>
      </c>
      <c r="B24" s="852"/>
      <c r="C24" s="852"/>
      <c r="D24" s="220">
        <v>0</v>
      </c>
      <c r="E24" s="228">
        <v>798000000</v>
      </c>
      <c r="F24" s="177">
        <f>E24+D24</f>
        <v>798000000</v>
      </c>
      <c r="G24" s="177"/>
      <c r="H24" s="177"/>
      <c r="I24" s="177">
        <f>F24+G24+H24</f>
        <v>798000000</v>
      </c>
      <c r="J24" s="196"/>
      <c r="K24" s="177"/>
      <c r="L24" s="177"/>
      <c r="M24" s="177"/>
      <c r="N24" s="177"/>
      <c r="O24" s="177">
        <f>K24+L24+M24-N24</f>
        <v>0</v>
      </c>
      <c r="P24" s="177">
        <f>I24-O24</f>
        <v>798000000</v>
      </c>
      <c r="Q24" s="177">
        <f>D24</f>
        <v>0</v>
      </c>
    </row>
    <row r="25" spans="1:17" ht="30" customHeight="1">
      <c r="A25" s="852" t="s">
        <v>204</v>
      </c>
      <c r="B25" s="852"/>
      <c r="C25" s="852"/>
      <c r="D25" s="177">
        <v>32700000</v>
      </c>
      <c r="E25" s="177">
        <v>1150000000</v>
      </c>
      <c r="F25" s="177">
        <f>E25+D25</f>
        <v>1182700000</v>
      </c>
      <c r="G25" s="177">
        <v>553587500</v>
      </c>
      <c r="H25" s="177"/>
      <c r="I25" s="177">
        <f>F25+G25+H25</f>
        <v>1736287500</v>
      </c>
      <c r="J25" s="196"/>
      <c r="K25" s="177"/>
      <c r="L25" s="177">
        <v>105416667</v>
      </c>
      <c r="M25" s="177">
        <v>115000000</v>
      </c>
      <c r="N25" s="177"/>
      <c r="O25" s="177">
        <f>K25+L25+M25-N25</f>
        <v>220416667</v>
      </c>
      <c r="P25" s="177">
        <f>I25-O25</f>
        <v>1515870833</v>
      </c>
      <c r="Q25" s="177">
        <f>D25</f>
        <v>32700000</v>
      </c>
    </row>
    <row r="26" spans="1:17" ht="30" customHeight="1" thickBot="1">
      <c r="A26" s="851" t="s">
        <v>649</v>
      </c>
      <c r="B26" s="851" t="s">
        <v>101</v>
      </c>
      <c r="C26" s="851"/>
      <c r="D26" s="208">
        <f t="shared" ref="D26:I26" si="6">SUM(D21:D25)</f>
        <v>71674000</v>
      </c>
      <c r="E26" s="208">
        <f t="shared" si="6"/>
        <v>26543000000</v>
      </c>
      <c r="F26" s="208">
        <f t="shared" si="6"/>
        <v>26614674000</v>
      </c>
      <c r="G26" s="208">
        <f t="shared" si="6"/>
        <v>1950063500</v>
      </c>
      <c r="H26" s="208">
        <f t="shared" si="6"/>
        <v>0</v>
      </c>
      <c r="I26" s="208">
        <f t="shared" si="6"/>
        <v>28564737500</v>
      </c>
      <c r="J26" s="196"/>
      <c r="K26" s="208">
        <f t="shared" ref="K26:Q26" si="7">SUM(K21:K25)</f>
        <v>0</v>
      </c>
      <c r="L26" s="208">
        <f t="shared" si="7"/>
        <v>105416667</v>
      </c>
      <c r="M26" s="208">
        <f t="shared" si="7"/>
        <v>115000000</v>
      </c>
      <c r="N26" s="208">
        <f t="shared" si="7"/>
        <v>0</v>
      </c>
      <c r="O26" s="208">
        <f t="shared" si="7"/>
        <v>220416667</v>
      </c>
      <c r="P26" s="208">
        <f t="shared" si="7"/>
        <v>28344320833</v>
      </c>
      <c r="Q26" s="208">
        <f t="shared" si="7"/>
        <v>71674000</v>
      </c>
    </row>
    <row r="27" spans="1:17" ht="30" customHeight="1" thickTop="1">
      <c r="A27" s="219" t="s">
        <v>590</v>
      </c>
      <c r="B27" s="91"/>
      <c r="C27" s="91"/>
      <c r="D27" s="201"/>
      <c r="E27" s="198"/>
      <c r="F27" s="198"/>
      <c r="G27" s="34"/>
      <c r="H27" s="91"/>
    </row>
    <row r="28" spans="1:17" ht="30" customHeight="1">
      <c r="D28" s="199"/>
      <c r="E28" s="199"/>
      <c r="F28" s="199"/>
      <c r="G28" s="199"/>
      <c r="H28" s="199"/>
      <c r="I28" s="199"/>
    </row>
    <row r="29" spans="1:17" ht="30" customHeight="1">
      <c r="B29" s="195" t="s">
        <v>616</v>
      </c>
      <c r="D29" s="34"/>
      <c r="E29" s="34"/>
      <c r="F29" s="34"/>
      <c r="G29" s="34"/>
      <c r="I29" s="200">
        <v>922183908979</v>
      </c>
      <c r="P29" s="213"/>
    </row>
    <row r="30" spans="1:17" ht="30" customHeight="1">
      <c r="D30" s="34"/>
      <c r="E30" s="34"/>
      <c r="F30" s="34"/>
      <c r="G30" s="34"/>
      <c r="I30" s="200"/>
      <c r="P30" s="200"/>
    </row>
    <row r="31" spans="1:17" ht="30" customHeight="1">
      <c r="D31" s="34"/>
      <c r="E31" s="34"/>
      <c r="F31" s="34"/>
      <c r="G31" s="34"/>
      <c r="I31" s="200"/>
    </row>
    <row r="32" spans="1:17" ht="30" customHeight="1">
      <c r="G32" s="212">
        <f>1398807450+3224156726</f>
        <v>4622964176</v>
      </c>
      <c r="I32" s="853"/>
      <c r="J32" s="853"/>
      <c r="K32" s="853"/>
    </row>
    <row r="33" spans="7:7" ht="30" customHeight="1">
      <c r="G33" s="212">
        <f>3190358100+678251626-3224156726</f>
        <v>644453000</v>
      </c>
    </row>
  </sheetData>
  <mergeCells count="24">
    <mergeCell ref="A24:C24"/>
    <mergeCell ref="A25:C25"/>
    <mergeCell ref="A26:C26"/>
    <mergeCell ref="I32:K32"/>
    <mergeCell ref="D19:I19"/>
    <mergeCell ref="K19:O19"/>
    <mergeCell ref="P19:Q19"/>
    <mergeCell ref="A21:C21"/>
    <mergeCell ref="A23:C23"/>
    <mergeCell ref="A22:C22"/>
    <mergeCell ref="A8:C8"/>
    <mergeCell ref="A9:C9"/>
    <mergeCell ref="A10:C10"/>
    <mergeCell ref="A11:C11"/>
    <mergeCell ref="A12:C12"/>
    <mergeCell ref="A14:C14"/>
    <mergeCell ref="A16:C16"/>
    <mergeCell ref="A1:Q1"/>
    <mergeCell ref="A2:Q2"/>
    <mergeCell ref="A3:Q3"/>
    <mergeCell ref="A5:Q5"/>
    <mergeCell ref="D6:I6"/>
    <mergeCell ref="K6:O6"/>
    <mergeCell ref="P6:Q6"/>
  </mergeCells>
  <printOptions horizontalCentered="1" verticalCentered="1"/>
  <pageMargins left="0.23622047244094491" right="0.23622047244094491" top="0.15748031496062992" bottom="0.74803149606299213" header="0.31496062992125984" footer="0.31496062992125984"/>
  <pageSetup paperSize="9" scale="56" orientation="landscape" r:id="rId1"/>
  <headerFooter>
    <oddFooter>&amp;C&amp;"B Titr,Bold"&amp;22 &amp;18 17</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S32"/>
  <sheetViews>
    <sheetView rightToLeft="1" view="pageBreakPreview" topLeftCell="A4" zoomScale="70" zoomScaleSheetLayoutView="70" workbookViewId="0">
      <selection activeCell="O18" sqref="O18"/>
    </sheetView>
  </sheetViews>
  <sheetFormatPr defaultRowHeight="30" customHeight="1"/>
  <cols>
    <col min="1" max="1" width="9.28515625" style="195" bestFit="1" customWidth="1"/>
    <col min="2" max="2" width="9.140625" style="195"/>
    <col min="3" max="4" width="13.85546875" style="195" customWidth="1"/>
    <col min="5" max="5" width="17.42578125" style="195" customWidth="1"/>
    <col min="6" max="6" width="19.140625" style="195" customWidth="1"/>
    <col min="7" max="7" width="20" style="195" customWidth="1"/>
    <col min="8" max="8" width="20.28515625" style="195" customWidth="1"/>
    <col min="9" max="9" width="20.140625" style="195" customWidth="1"/>
    <col min="10" max="10" width="1.140625" style="195" customWidth="1"/>
    <col min="11" max="11" width="7.5703125" style="195" customWidth="1"/>
    <col min="12" max="12" width="15.5703125" style="195" customWidth="1"/>
    <col min="13" max="13" width="16.5703125" style="195" customWidth="1"/>
    <col min="14" max="14" width="7.85546875" style="195" hidden="1" customWidth="1"/>
    <col min="15" max="15" width="15.7109375" style="195" customWidth="1"/>
    <col min="16" max="16" width="19.5703125" style="195" customWidth="1"/>
    <col min="17" max="17" width="17.7109375" style="195" customWidth="1"/>
    <col min="18" max="18" width="9.140625" style="195"/>
    <col min="19" max="19" width="22.7109375" style="195" bestFit="1" customWidth="1"/>
    <col min="20" max="16384" width="9.140625" style="195"/>
  </cols>
  <sheetData>
    <row r="1" spans="1:19" ht="30" customHeight="1">
      <c r="A1" s="848" t="s">
        <v>408</v>
      </c>
      <c r="B1" s="848"/>
      <c r="C1" s="848"/>
      <c r="D1" s="848"/>
      <c r="E1" s="848"/>
      <c r="F1" s="848"/>
      <c r="G1" s="848"/>
      <c r="H1" s="848"/>
      <c r="I1" s="848"/>
      <c r="J1" s="848"/>
      <c r="K1" s="848"/>
      <c r="L1" s="848"/>
      <c r="M1" s="848"/>
      <c r="N1" s="848"/>
      <c r="O1" s="848"/>
      <c r="P1" s="848"/>
      <c r="Q1" s="848"/>
    </row>
    <row r="2" spans="1:19" ht="30" customHeight="1">
      <c r="A2" s="849" t="s">
        <v>109</v>
      </c>
      <c r="B2" s="849"/>
      <c r="C2" s="849"/>
      <c r="D2" s="849"/>
      <c r="E2" s="849"/>
      <c r="F2" s="849"/>
      <c r="G2" s="849"/>
      <c r="H2" s="849"/>
      <c r="I2" s="849"/>
      <c r="J2" s="849"/>
      <c r="K2" s="849"/>
      <c r="L2" s="849"/>
      <c r="M2" s="849"/>
      <c r="N2" s="849"/>
      <c r="O2" s="849"/>
      <c r="P2" s="849"/>
      <c r="Q2" s="849"/>
    </row>
    <row r="3" spans="1:19" ht="30" customHeight="1">
      <c r="A3" s="849" t="s">
        <v>605</v>
      </c>
      <c r="B3" s="849"/>
      <c r="C3" s="849"/>
      <c r="D3" s="849"/>
      <c r="E3" s="849"/>
      <c r="F3" s="849"/>
      <c r="G3" s="849"/>
      <c r="H3" s="849"/>
      <c r="I3" s="849"/>
      <c r="J3" s="849"/>
      <c r="K3" s="849"/>
      <c r="L3" s="849"/>
      <c r="M3" s="849"/>
      <c r="N3" s="849"/>
      <c r="O3" s="849"/>
      <c r="P3" s="849"/>
      <c r="Q3" s="849"/>
    </row>
    <row r="4" spans="1:19" ht="30" customHeight="1">
      <c r="A4" s="268" t="s">
        <v>698</v>
      </c>
      <c r="B4" s="158"/>
      <c r="C4" s="159"/>
      <c r="D4" s="159"/>
      <c r="E4" s="140"/>
      <c r="F4" s="160"/>
      <c r="G4" s="140"/>
      <c r="H4" s="140"/>
      <c r="I4" s="160"/>
      <c r="J4" s="160"/>
      <c r="K4" s="160"/>
      <c r="L4" s="160"/>
      <c r="M4" s="160"/>
      <c r="N4" s="160"/>
      <c r="O4" s="160"/>
      <c r="P4" s="160"/>
      <c r="Q4" s="153"/>
    </row>
    <row r="5" spans="1:19" ht="43.5" customHeight="1">
      <c r="A5" s="851" t="s">
        <v>94</v>
      </c>
      <c r="B5" s="851"/>
      <c r="C5" s="851"/>
      <c r="D5" s="851"/>
      <c r="E5" s="851"/>
      <c r="F5" s="851"/>
      <c r="G5" s="851"/>
      <c r="H5" s="851"/>
      <c r="I5" s="851"/>
      <c r="J5" s="851"/>
      <c r="K5" s="851"/>
      <c r="L5" s="851"/>
      <c r="M5" s="851"/>
      <c r="N5" s="851"/>
      <c r="O5" s="851"/>
      <c r="P5" s="851"/>
      <c r="Q5" s="851"/>
    </row>
    <row r="6" spans="1:19" ht="30" customHeight="1">
      <c r="A6" s="196"/>
      <c r="B6" s="196"/>
      <c r="C6" s="196"/>
      <c r="D6" s="196"/>
      <c r="E6" s="765" t="s">
        <v>95</v>
      </c>
      <c r="F6" s="765"/>
      <c r="G6" s="765"/>
      <c r="H6" s="765"/>
      <c r="I6" s="765"/>
      <c r="J6" s="196"/>
      <c r="K6" s="765" t="s">
        <v>96</v>
      </c>
      <c r="L6" s="765"/>
      <c r="M6" s="765"/>
      <c r="N6" s="765"/>
      <c r="O6" s="765"/>
      <c r="P6" s="765" t="s">
        <v>103</v>
      </c>
      <c r="Q6" s="765"/>
    </row>
    <row r="7" spans="1:19" ht="60" customHeight="1">
      <c r="A7" s="140"/>
      <c r="B7" s="205" t="s">
        <v>97</v>
      </c>
      <c r="C7" s="140"/>
      <c r="D7" s="266" t="s">
        <v>70</v>
      </c>
      <c r="E7" s="157" t="s">
        <v>102</v>
      </c>
      <c r="F7" s="162" t="s">
        <v>514</v>
      </c>
      <c r="G7" s="157" t="s">
        <v>674</v>
      </c>
      <c r="H7" s="157" t="s">
        <v>699</v>
      </c>
      <c r="I7" s="157" t="s">
        <v>610</v>
      </c>
      <c r="J7" s="196"/>
      <c r="K7" s="218" t="s">
        <v>102</v>
      </c>
      <c r="L7" s="218" t="s">
        <v>688</v>
      </c>
      <c r="M7" s="157" t="s">
        <v>99</v>
      </c>
      <c r="N7" s="157" t="s">
        <v>100</v>
      </c>
      <c r="O7" s="157" t="s">
        <v>611</v>
      </c>
      <c r="P7" s="157" t="s">
        <v>610</v>
      </c>
      <c r="Q7" s="157" t="s">
        <v>552</v>
      </c>
    </row>
    <row r="8" spans="1:19" ht="33" customHeight="1">
      <c r="A8" s="850" t="s">
        <v>643</v>
      </c>
      <c r="B8" s="850"/>
      <c r="C8" s="850"/>
      <c r="D8" s="140" t="s">
        <v>495</v>
      </c>
      <c r="E8" s="138">
        <v>0</v>
      </c>
      <c r="F8" s="163"/>
      <c r="G8" s="138">
        <v>560247500000</v>
      </c>
      <c r="H8" s="138">
        <v>0</v>
      </c>
      <c r="I8" s="138">
        <f>SUM(E8:H8)</f>
        <v>560247500000</v>
      </c>
      <c r="J8" s="196"/>
      <c r="K8" s="138">
        <v>0</v>
      </c>
      <c r="L8" s="138">
        <v>0</v>
      </c>
      <c r="M8" s="138">
        <v>0</v>
      </c>
      <c r="N8" s="164"/>
      <c r="O8" s="138">
        <f t="shared" ref="O8:O13" si="0">K8+L8+M8-N8</f>
        <v>0</v>
      </c>
      <c r="P8" s="138">
        <f t="shared" ref="P8:P13" si="1">I8-O8</f>
        <v>560247500000</v>
      </c>
      <c r="Q8" s="235">
        <v>0</v>
      </c>
    </row>
    <row r="9" spans="1:19" ht="33" customHeight="1">
      <c r="A9" s="852" t="s">
        <v>642</v>
      </c>
      <c r="B9" s="852"/>
      <c r="C9" s="852"/>
      <c r="D9" s="247" t="s">
        <v>496</v>
      </c>
      <c r="E9" s="138">
        <v>0</v>
      </c>
      <c r="F9" s="165">
        <f>1417703946+17140568766</f>
        <v>18558272712</v>
      </c>
      <c r="G9" s="138">
        <f>338859668880-F9</f>
        <v>320301396168</v>
      </c>
      <c r="H9" s="138">
        <f>678251626+3190358100</f>
        <v>3868609726</v>
      </c>
      <c r="I9" s="138">
        <f>SUM(E9:H9)</f>
        <v>342728278606</v>
      </c>
      <c r="J9" s="196"/>
      <c r="K9" s="138">
        <v>0</v>
      </c>
      <c r="L9" s="138">
        <v>5190117957</v>
      </c>
      <c r="M9" s="138">
        <v>5661946862</v>
      </c>
      <c r="N9" s="164"/>
      <c r="O9" s="211">
        <f t="shared" si="0"/>
        <v>10852064819</v>
      </c>
      <c r="P9" s="138">
        <f t="shared" si="1"/>
        <v>331876213787</v>
      </c>
      <c r="Q9" s="138">
        <v>0</v>
      </c>
    </row>
    <row r="10" spans="1:19" ht="33" customHeight="1">
      <c r="A10" s="852" t="s">
        <v>640</v>
      </c>
      <c r="B10" s="852"/>
      <c r="C10" s="852"/>
      <c r="D10" s="247" t="s">
        <v>663</v>
      </c>
      <c r="E10" s="138">
        <v>6137272530</v>
      </c>
      <c r="F10" s="236">
        <v>-644453000</v>
      </c>
      <c r="G10" s="138">
        <f>12597041650-E10+1848771</f>
        <v>6461617891</v>
      </c>
      <c r="H10" s="138">
        <f>1398807450</f>
        <v>1398807450</v>
      </c>
      <c r="I10" s="138">
        <f>SUM(E10:H10)</f>
        <v>13353244871</v>
      </c>
      <c r="J10" s="196"/>
      <c r="K10" s="138">
        <v>0</v>
      </c>
      <c r="L10" s="138">
        <f>1836702446+139248740</f>
        <v>1975951186</v>
      </c>
      <c r="M10" s="138">
        <v>2653120085</v>
      </c>
      <c r="N10" s="164"/>
      <c r="O10" s="138">
        <f t="shared" si="0"/>
        <v>4629071271</v>
      </c>
      <c r="P10" s="138">
        <f t="shared" si="1"/>
        <v>8724173600</v>
      </c>
      <c r="Q10" s="138">
        <v>6137272530</v>
      </c>
    </row>
    <row r="11" spans="1:19" ht="33" customHeight="1">
      <c r="A11" s="852" t="s">
        <v>647</v>
      </c>
      <c r="B11" s="852"/>
      <c r="C11" s="852"/>
      <c r="D11" s="247" t="s">
        <v>664</v>
      </c>
      <c r="E11" s="138">
        <v>6280866446</v>
      </c>
      <c r="F11" s="236">
        <f>-1417703946+644453000</f>
        <v>-773250946</v>
      </c>
      <c r="G11" s="138">
        <v>0</v>
      </c>
      <c r="H11" s="138">
        <v>0</v>
      </c>
      <c r="I11" s="138">
        <f>SUM(E11:H11)</f>
        <v>5507615500</v>
      </c>
      <c r="J11" s="196"/>
      <c r="K11" s="138">
        <v>0</v>
      </c>
      <c r="L11" s="138">
        <f>522908204+3055556+11952334</f>
        <v>537916094</v>
      </c>
      <c r="M11" s="138">
        <f>651001937+3333333</f>
        <v>654335270</v>
      </c>
      <c r="N11" s="164"/>
      <c r="O11" s="138">
        <f t="shared" si="0"/>
        <v>1192251364</v>
      </c>
      <c r="P11" s="138">
        <f t="shared" si="1"/>
        <v>4315364136</v>
      </c>
      <c r="Q11" s="138">
        <v>6280866446</v>
      </c>
    </row>
    <row r="12" spans="1:19" ht="33" customHeight="1">
      <c r="A12" s="852" t="s">
        <v>645</v>
      </c>
      <c r="B12" s="852"/>
      <c r="C12" s="852"/>
      <c r="D12" s="247" t="s">
        <v>669</v>
      </c>
      <c r="E12" s="138">
        <v>0</v>
      </c>
      <c r="F12" s="165">
        <v>0</v>
      </c>
      <c r="G12" s="138">
        <v>351750002</v>
      </c>
      <c r="H12" s="138">
        <v>0</v>
      </c>
      <c r="I12" s="138">
        <f>SUM(E12:H12)</f>
        <v>351750002</v>
      </c>
      <c r="J12" s="196"/>
      <c r="K12" s="138">
        <v>0</v>
      </c>
      <c r="L12" s="138">
        <v>22762363</v>
      </c>
      <c r="M12" s="138">
        <v>24831666</v>
      </c>
      <c r="N12" s="164"/>
      <c r="O12" s="138">
        <f t="shared" si="0"/>
        <v>47594029</v>
      </c>
      <c r="P12" s="138">
        <f t="shared" si="1"/>
        <v>304155973</v>
      </c>
      <c r="Q12" s="138">
        <v>0</v>
      </c>
    </row>
    <row r="13" spans="1:19" ht="33" customHeight="1">
      <c r="A13" s="206" t="s">
        <v>104</v>
      </c>
      <c r="B13" s="139"/>
      <c r="C13" s="139"/>
      <c r="D13" s="250" t="s">
        <v>697</v>
      </c>
      <c r="E13" s="138">
        <v>17140568766</v>
      </c>
      <c r="F13" s="236">
        <f>-17140568766</f>
        <v>-17140568766</v>
      </c>
      <c r="G13" s="165">
        <v>0</v>
      </c>
      <c r="H13" s="138">
        <v>0</v>
      </c>
      <c r="I13" s="138">
        <v>0</v>
      </c>
      <c r="J13" s="196"/>
      <c r="K13" s="138">
        <v>0</v>
      </c>
      <c r="L13" s="140"/>
      <c r="M13" s="138">
        <v>0</v>
      </c>
      <c r="N13" s="138">
        <v>0</v>
      </c>
      <c r="O13" s="138">
        <f t="shared" si="0"/>
        <v>0</v>
      </c>
      <c r="P13" s="138">
        <f t="shared" si="1"/>
        <v>0</v>
      </c>
      <c r="Q13" s="138">
        <v>17140568766</v>
      </c>
    </row>
    <row r="14" spans="1:19" ht="37.5" customHeight="1" thickBot="1">
      <c r="A14" s="764" t="s">
        <v>649</v>
      </c>
      <c r="B14" s="764" t="s">
        <v>101</v>
      </c>
      <c r="C14" s="764"/>
      <c r="D14" s="237"/>
      <c r="E14" s="238">
        <f>SUM(E8:E13)</f>
        <v>29558707742</v>
      </c>
      <c r="F14" s="238">
        <f>SUM(F8:F13)</f>
        <v>0</v>
      </c>
      <c r="G14" s="238">
        <f>SUM(G8:G13)</f>
        <v>887362264061</v>
      </c>
      <c r="H14" s="238">
        <f>SUM(H8:H13)</f>
        <v>5267417176</v>
      </c>
      <c r="I14" s="238">
        <f>SUM(I8:I13)</f>
        <v>922188388979</v>
      </c>
      <c r="J14" s="196"/>
      <c r="K14" s="238">
        <f t="shared" ref="K14:Q14" si="2">SUM(K8:K13)</f>
        <v>0</v>
      </c>
      <c r="L14" s="238">
        <f t="shared" si="2"/>
        <v>7726747600</v>
      </c>
      <c r="M14" s="238">
        <f t="shared" si="2"/>
        <v>8994233883</v>
      </c>
      <c r="N14" s="238">
        <f t="shared" si="2"/>
        <v>0</v>
      </c>
      <c r="O14" s="269">
        <f t="shared" si="2"/>
        <v>16720981483</v>
      </c>
      <c r="P14" s="238">
        <f t="shared" si="2"/>
        <v>905467407496</v>
      </c>
      <c r="Q14" s="238">
        <f t="shared" si="2"/>
        <v>29558707742</v>
      </c>
      <c r="S14" s="200"/>
    </row>
    <row r="15" spans="1:19" ht="30" customHeight="1" thickTop="1">
      <c r="A15" s="205"/>
      <c r="B15" s="205"/>
      <c r="C15" s="205"/>
      <c r="D15" s="205"/>
      <c r="E15" s="221"/>
      <c r="F15" s="221"/>
      <c r="G15" s="221"/>
      <c r="H15" s="221"/>
      <c r="I15" s="221"/>
      <c r="J15" s="196"/>
      <c r="K15" s="221"/>
      <c r="L15" s="221"/>
      <c r="M15" s="221"/>
      <c r="N15" s="221"/>
      <c r="O15" s="221"/>
      <c r="P15" s="221"/>
      <c r="Q15" s="221"/>
    </row>
    <row r="16" spans="1:19" ht="30" customHeight="1">
      <c r="A16" s="158">
        <v>-9</v>
      </c>
      <c r="B16" s="158" t="s">
        <v>675</v>
      </c>
      <c r="C16" s="159"/>
      <c r="D16" s="159"/>
      <c r="E16" s="140"/>
      <c r="F16" s="160"/>
      <c r="G16" s="140"/>
      <c r="H16" s="140"/>
      <c r="I16" s="160"/>
      <c r="J16" s="160"/>
      <c r="K16" s="160"/>
      <c r="L16" s="160"/>
      <c r="M16" s="160"/>
      <c r="N16" s="160"/>
      <c r="O16" s="160"/>
      <c r="P16" s="160"/>
      <c r="Q16" s="153"/>
    </row>
    <row r="17" spans="1:19" ht="30" customHeight="1">
      <c r="A17" s="196"/>
      <c r="B17" s="196"/>
      <c r="C17" s="196"/>
      <c r="D17" s="196"/>
      <c r="E17" s="765" t="s">
        <v>95</v>
      </c>
      <c r="F17" s="765"/>
      <c r="G17" s="765"/>
      <c r="H17" s="765"/>
      <c r="I17" s="765"/>
      <c r="J17" s="196"/>
      <c r="K17" s="765" t="s">
        <v>96</v>
      </c>
      <c r="L17" s="765"/>
      <c r="M17" s="765"/>
      <c r="N17" s="765"/>
      <c r="O17" s="765"/>
      <c r="P17" s="765" t="s">
        <v>103</v>
      </c>
      <c r="Q17" s="765"/>
    </row>
    <row r="18" spans="1:19" ht="78" customHeight="1">
      <c r="A18" s="161"/>
      <c r="B18" s="233" t="s">
        <v>97</v>
      </c>
      <c r="C18" s="161"/>
      <c r="D18" s="266" t="s">
        <v>70</v>
      </c>
      <c r="E18" s="157" t="s">
        <v>102</v>
      </c>
      <c r="F18" s="162" t="s">
        <v>514</v>
      </c>
      <c r="G18" s="157" t="s">
        <v>674</v>
      </c>
      <c r="H18" s="157" t="s">
        <v>98</v>
      </c>
      <c r="I18" s="157" t="s">
        <v>610</v>
      </c>
      <c r="J18" s="196"/>
      <c r="K18" s="218" t="s">
        <v>102</v>
      </c>
      <c r="L18" s="218" t="s">
        <v>688</v>
      </c>
      <c r="M18" s="157" t="s">
        <v>99</v>
      </c>
      <c r="N18" s="157" t="s">
        <v>100</v>
      </c>
      <c r="O18" s="157" t="s">
        <v>611</v>
      </c>
      <c r="P18" s="157" t="s">
        <v>610</v>
      </c>
      <c r="Q18" s="157" t="s">
        <v>552</v>
      </c>
    </row>
    <row r="19" spans="1:19" ht="39.75" customHeight="1">
      <c r="A19" s="852" t="s">
        <v>204</v>
      </c>
      <c r="B19" s="852"/>
      <c r="C19" s="852"/>
      <c r="D19" s="206"/>
      <c r="E19" s="247">
        <v>32700000</v>
      </c>
      <c r="F19" s="247">
        <v>0</v>
      </c>
      <c r="G19" s="247">
        <v>1150000000</v>
      </c>
      <c r="H19" s="247">
        <v>553587500</v>
      </c>
      <c r="I19" s="247">
        <f>SUM(E19:H19)</f>
        <v>1736287500</v>
      </c>
      <c r="J19" s="196"/>
      <c r="K19" s="247"/>
      <c r="L19" s="247">
        <v>105416667</v>
      </c>
      <c r="M19" s="247">
        <v>115000000</v>
      </c>
      <c r="N19" s="247"/>
      <c r="O19" s="247">
        <f>K19+L19+M19-N19</f>
        <v>220416667</v>
      </c>
      <c r="P19" s="247">
        <f>I19-O19</f>
        <v>1515870833</v>
      </c>
      <c r="Q19" s="247">
        <f>E19</f>
        <v>32700000</v>
      </c>
    </row>
    <row r="20" spans="1:19" ht="37.5" customHeight="1" thickBot="1">
      <c r="A20" s="764" t="s">
        <v>649</v>
      </c>
      <c r="B20" s="764" t="s">
        <v>101</v>
      </c>
      <c r="C20" s="764"/>
      <c r="D20" s="237"/>
      <c r="E20" s="238">
        <f>SUM(E19:E19)</f>
        <v>32700000</v>
      </c>
      <c r="F20" s="238">
        <f>SUM(F19:F19)</f>
        <v>0</v>
      </c>
      <c r="G20" s="238">
        <f>SUM(G19:G19)</f>
        <v>1150000000</v>
      </c>
      <c r="H20" s="238">
        <f>SUM(H19:H19)</f>
        <v>553587500</v>
      </c>
      <c r="I20" s="238">
        <f>SUM(I19:I19)</f>
        <v>1736287500</v>
      </c>
      <c r="J20" s="196"/>
      <c r="K20" s="238">
        <f t="shared" ref="K20:Q20" si="3">SUM(K19:K19)</f>
        <v>0</v>
      </c>
      <c r="L20" s="238">
        <f t="shared" si="3"/>
        <v>105416667</v>
      </c>
      <c r="M20" s="238">
        <f t="shared" si="3"/>
        <v>115000000</v>
      </c>
      <c r="N20" s="238">
        <f t="shared" si="3"/>
        <v>0</v>
      </c>
      <c r="O20" s="238">
        <f t="shared" si="3"/>
        <v>220416667</v>
      </c>
      <c r="P20" s="238">
        <f t="shared" si="3"/>
        <v>1515870833</v>
      </c>
      <c r="Q20" s="238">
        <f t="shared" si="3"/>
        <v>32700000</v>
      </c>
      <c r="S20" s="200"/>
    </row>
    <row r="21" spans="1:19" ht="38.25" customHeight="1" thickTop="1">
      <c r="A21" s="219"/>
      <c r="B21" s="91"/>
      <c r="C21" s="91"/>
      <c r="D21" s="91"/>
      <c r="E21" s="198"/>
      <c r="F21" s="91"/>
      <c r="G21" s="198"/>
      <c r="H21" s="34"/>
    </row>
    <row r="22" spans="1:19" ht="30" customHeight="1">
      <c r="E22" s="199"/>
      <c r="F22" s="199"/>
      <c r="G22" s="199"/>
      <c r="H22" s="199"/>
      <c r="I22" s="199"/>
    </row>
    <row r="23" spans="1:19" ht="30" customHeight="1">
      <c r="E23" s="199"/>
      <c r="F23" s="199"/>
      <c r="G23" s="199"/>
      <c r="H23" s="199"/>
      <c r="I23" s="199"/>
    </row>
    <row r="24" spans="1:19" ht="30" customHeight="1">
      <c r="E24" s="34"/>
      <c r="G24" s="34"/>
      <c r="H24" s="34"/>
      <c r="I24" s="200"/>
      <c r="P24" s="200"/>
    </row>
    <row r="25" spans="1:19" ht="30" customHeight="1">
      <c r="E25" s="34"/>
      <c r="G25" s="34"/>
      <c r="H25" s="34"/>
      <c r="I25" s="200"/>
      <c r="P25" s="200"/>
    </row>
    <row r="26" spans="1:19" ht="30" customHeight="1">
      <c r="A26" s="852" t="s">
        <v>648</v>
      </c>
      <c r="B26" s="852"/>
      <c r="C26" s="852"/>
      <c r="D26" s="206"/>
      <c r="E26" s="267">
        <v>0</v>
      </c>
      <c r="F26" s="247"/>
      <c r="G26" s="234">
        <v>19505000000</v>
      </c>
      <c r="H26" s="247"/>
      <c r="I26" s="247">
        <f>SUM(E26:H26)</f>
        <v>19505000000</v>
      </c>
      <c r="J26" s="224"/>
      <c r="K26" s="247"/>
      <c r="L26" s="247"/>
      <c r="M26" s="247"/>
      <c r="N26" s="247"/>
      <c r="O26" s="247">
        <f>K26+L26+M26-N26</f>
        <v>0</v>
      </c>
      <c r="P26" s="247">
        <f>I26-O26</f>
        <v>19505000000</v>
      </c>
      <c r="Q26" s="247">
        <f>E26</f>
        <v>0</v>
      </c>
    </row>
    <row r="27" spans="1:19" ht="30" customHeight="1">
      <c r="A27" s="852" t="s">
        <v>499</v>
      </c>
      <c r="B27" s="852"/>
      <c r="C27" s="852"/>
      <c r="D27" s="206"/>
      <c r="E27" s="247">
        <v>31854000</v>
      </c>
      <c r="F27" s="247"/>
      <c r="G27" s="247">
        <v>3260000000</v>
      </c>
      <c r="H27" s="247">
        <v>1396476000</v>
      </c>
      <c r="I27" s="247">
        <f>SUM(E27:H27)</f>
        <v>4688330000</v>
      </c>
      <c r="J27" s="196"/>
      <c r="K27" s="247"/>
      <c r="L27" s="247"/>
      <c r="M27" s="247"/>
      <c r="N27" s="247"/>
      <c r="O27" s="247">
        <f>K27+L27+M27-N27</f>
        <v>0</v>
      </c>
      <c r="P27" s="247">
        <f>I27-O27</f>
        <v>4688330000</v>
      </c>
      <c r="Q27" s="247">
        <f>E27</f>
        <v>31854000</v>
      </c>
    </row>
    <row r="28" spans="1:19" ht="30" customHeight="1">
      <c r="A28" s="852" t="s">
        <v>553</v>
      </c>
      <c r="B28" s="852"/>
      <c r="C28" s="852"/>
      <c r="D28" s="206"/>
      <c r="E28" s="247">
        <v>7120000</v>
      </c>
      <c r="F28" s="247"/>
      <c r="G28" s="247">
        <v>1830000000</v>
      </c>
      <c r="H28" s="247"/>
      <c r="I28" s="247">
        <f>SUM(E28:H28)</f>
        <v>1837120000</v>
      </c>
      <c r="J28" s="196"/>
      <c r="K28" s="247"/>
      <c r="L28" s="247"/>
      <c r="M28" s="247"/>
      <c r="N28" s="247"/>
      <c r="O28" s="247">
        <f>K28+L28+M28-N28</f>
        <v>0</v>
      </c>
      <c r="P28" s="247">
        <f>I28-O28</f>
        <v>1837120000</v>
      </c>
      <c r="Q28" s="247">
        <f>E28</f>
        <v>7120000</v>
      </c>
    </row>
    <row r="29" spans="1:19" ht="30" customHeight="1">
      <c r="A29" s="852" t="s">
        <v>650</v>
      </c>
      <c r="B29" s="852"/>
      <c r="C29" s="852"/>
      <c r="D29" s="206"/>
      <c r="E29" s="221">
        <v>0</v>
      </c>
      <c r="F29" s="247"/>
      <c r="G29" s="247">
        <v>798000000</v>
      </c>
      <c r="H29" s="247"/>
      <c r="I29" s="247">
        <f>SUM(E29:H29)</f>
        <v>798000000</v>
      </c>
      <c r="J29" s="196"/>
      <c r="K29" s="247"/>
      <c r="L29" s="247"/>
      <c r="M29" s="247"/>
      <c r="N29" s="247"/>
      <c r="O29" s="247">
        <f>K29+L29+M29-N29</f>
        <v>0</v>
      </c>
      <c r="P29" s="247">
        <f>I29-O29</f>
        <v>798000000</v>
      </c>
      <c r="Q29" s="247">
        <f>E29</f>
        <v>0</v>
      </c>
    </row>
    <row r="30" spans="1:19" ht="30" customHeight="1">
      <c r="E30" s="34"/>
      <c r="G30" s="34"/>
      <c r="H30" s="34"/>
      <c r="I30" s="200"/>
    </row>
    <row r="31" spans="1:19" ht="30" customHeight="1">
      <c r="H31" s="212"/>
      <c r="I31" s="853"/>
      <c r="J31" s="853"/>
      <c r="K31" s="853"/>
    </row>
    <row r="32" spans="1:19" ht="30" customHeight="1">
      <c r="H32" s="212"/>
    </row>
  </sheetData>
  <mergeCells count="23">
    <mergeCell ref="A27:C27"/>
    <mergeCell ref="A28:C28"/>
    <mergeCell ref="A29:C29"/>
    <mergeCell ref="I31:K31"/>
    <mergeCell ref="E17:I17"/>
    <mergeCell ref="K17:O17"/>
    <mergeCell ref="P17:Q17"/>
    <mergeCell ref="A19:C19"/>
    <mergeCell ref="A20:C20"/>
    <mergeCell ref="A26:C26"/>
    <mergeCell ref="A8:C8"/>
    <mergeCell ref="A9:C9"/>
    <mergeCell ref="A10:C10"/>
    <mergeCell ref="A11:C11"/>
    <mergeCell ref="A12:C12"/>
    <mergeCell ref="A14:C14"/>
    <mergeCell ref="A1:Q1"/>
    <mergeCell ref="A2:Q2"/>
    <mergeCell ref="A3:Q3"/>
    <mergeCell ref="A5:Q5"/>
    <mergeCell ref="E6:I6"/>
    <mergeCell ref="K6:O6"/>
    <mergeCell ref="P6:Q6"/>
  </mergeCells>
  <printOptions horizontalCentered="1" verticalCentered="1"/>
  <pageMargins left="0.15748031496062992" right="0.15748031496062992" top="0.15748031496062992" bottom="0.66" header="0.31496062992125984" footer="0.31496062992125984"/>
  <pageSetup paperSize="9" scale="62" orientation="landscape" r:id="rId1"/>
  <headerFooter>
    <oddFooter>&amp;C&amp;"B Titr,Bold"&amp;22 &amp;18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31"/>
  <sheetViews>
    <sheetView rightToLeft="1" view="pageBreakPreview" zoomScaleNormal="100" zoomScaleSheetLayoutView="100" workbookViewId="0">
      <selection activeCell="C10" sqref="C10:C11"/>
    </sheetView>
  </sheetViews>
  <sheetFormatPr defaultColWidth="10.28515625" defaultRowHeight="12.75"/>
  <cols>
    <col min="1" max="1" width="5.85546875" style="104" bestFit="1" customWidth="1"/>
    <col min="2" max="2" width="49.42578125" style="104" customWidth="1"/>
    <col min="3" max="3" width="19" style="104" customWidth="1"/>
    <col min="4" max="4" width="21.42578125" style="104" customWidth="1"/>
    <col min="5" max="5" width="28.5703125" style="104" customWidth="1"/>
    <col min="6" max="6" width="17" style="104" customWidth="1"/>
    <col min="7" max="7" width="2.7109375" style="104" hidden="1" customWidth="1"/>
    <col min="8" max="8" width="28.28515625" style="104" bestFit="1" customWidth="1"/>
    <col min="9" max="9" width="2.7109375" style="104" hidden="1" customWidth="1"/>
    <col min="10" max="10" width="31.28515625" style="104" bestFit="1" customWidth="1"/>
    <col min="11" max="12" width="10.28515625" style="104"/>
    <col min="13" max="13" width="12" style="104" bestFit="1" customWidth="1"/>
    <col min="14" max="16384" width="10.28515625" style="104"/>
  </cols>
  <sheetData>
    <row r="1" spans="1:10" ht="20.25">
      <c r="A1" s="103"/>
      <c r="B1" s="103"/>
      <c r="C1" s="103"/>
      <c r="D1" s="103"/>
      <c r="E1" s="103"/>
      <c r="F1" s="103"/>
      <c r="G1" s="103"/>
      <c r="H1" s="103"/>
      <c r="I1" s="103"/>
      <c r="J1" s="103"/>
    </row>
    <row r="2" spans="1:10" ht="28.5">
      <c r="A2" s="854" t="s">
        <v>732</v>
      </c>
      <c r="B2" s="854"/>
      <c r="C2" s="854"/>
      <c r="D2" s="854"/>
      <c r="E2" s="854"/>
      <c r="F2" s="854"/>
      <c r="G2" s="854"/>
      <c r="H2" s="854"/>
      <c r="I2" s="854"/>
      <c r="J2" s="854"/>
    </row>
    <row r="3" spans="1:10" ht="29.25">
      <c r="A3" s="276"/>
      <c r="B3" s="277"/>
      <c r="C3" s="277"/>
      <c r="D3" s="277"/>
      <c r="E3" s="278"/>
      <c r="F3" s="278"/>
      <c r="G3" s="105"/>
      <c r="H3" s="106"/>
      <c r="I3" s="106"/>
      <c r="J3" s="106"/>
    </row>
    <row r="4" spans="1:10" s="279" customFormat="1" ht="25.5">
      <c r="A4" s="855" t="s">
        <v>149</v>
      </c>
      <c r="B4" s="856"/>
      <c r="C4" s="664" t="s">
        <v>582</v>
      </c>
      <c r="D4" s="664" t="s">
        <v>622</v>
      </c>
      <c r="E4" s="665" t="s">
        <v>151</v>
      </c>
      <c r="G4" s="280"/>
    </row>
    <row r="5" spans="1:10" ht="24">
      <c r="A5" s="857" t="s">
        <v>88</v>
      </c>
      <c r="B5" s="858"/>
      <c r="C5" s="666">
        <v>56206000000</v>
      </c>
      <c r="D5" s="355">
        <f>C21</f>
        <v>56206000000</v>
      </c>
      <c r="E5" s="667">
        <f>D5/C5</f>
        <v>1</v>
      </c>
      <c r="G5" s="204"/>
    </row>
    <row r="6" spans="1:10" ht="29.25">
      <c r="A6" s="107"/>
      <c r="B6" s="107"/>
      <c r="C6" s="108"/>
      <c r="D6" s="108"/>
      <c r="E6" s="108"/>
      <c r="F6" s="108"/>
      <c r="G6" s="105"/>
      <c r="H6" s="108"/>
      <c r="I6" s="106"/>
      <c r="J6" s="109"/>
    </row>
    <row r="7" spans="1:10" ht="29.25">
      <c r="A7" s="107"/>
      <c r="B7" s="107"/>
      <c r="C7" s="108"/>
      <c r="D7" s="108"/>
      <c r="E7" s="108"/>
      <c r="F7" s="108"/>
      <c r="G7" s="105"/>
      <c r="H7" s="108"/>
      <c r="I7" s="106"/>
      <c r="J7" s="109"/>
    </row>
    <row r="8" spans="1:10" ht="32.25">
      <c r="A8" s="854" t="s">
        <v>711</v>
      </c>
      <c r="B8" s="854"/>
      <c r="C8" s="854"/>
      <c r="D8" s="854"/>
      <c r="E8" s="854"/>
      <c r="F8" s="281"/>
      <c r="G8" s="281"/>
    </row>
    <row r="9" spans="1:10" s="283" customFormat="1" ht="20.25">
      <c r="A9" s="282"/>
      <c r="B9" s="282"/>
      <c r="C9" s="282"/>
      <c r="D9" s="282"/>
      <c r="E9" s="282"/>
      <c r="F9" s="282"/>
      <c r="G9" s="282"/>
    </row>
    <row r="10" spans="1:10" s="286" customFormat="1" ht="25.5" customHeight="1">
      <c r="A10" s="859" t="s">
        <v>49</v>
      </c>
      <c r="B10" s="859" t="s">
        <v>152</v>
      </c>
      <c r="C10" s="356" t="s">
        <v>150</v>
      </c>
      <c r="D10" s="351" t="s">
        <v>150</v>
      </c>
      <c r="E10" s="861" t="s">
        <v>153</v>
      </c>
      <c r="F10" s="284"/>
      <c r="G10" s="285" t="s">
        <v>162</v>
      </c>
    </row>
    <row r="11" spans="1:10" s="287" customFormat="1" ht="25.5">
      <c r="A11" s="860"/>
      <c r="B11" s="860"/>
      <c r="C11" s="356">
        <v>1398</v>
      </c>
      <c r="D11" s="351">
        <v>1397</v>
      </c>
      <c r="E11" s="862"/>
      <c r="F11" s="284"/>
      <c r="G11" s="285"/>
    </row>
    <row r="12" spans="1:10" s="110" customFormat="1" ht="21">
      <c r="A12" s="357">
        <v>1</v>
      </c>
      <c r="B12" s="354" t="s">
        <v>154</v>
      </c>
      <c r="C12" s="352">
        <v>272000000</v>
      </c>
      <c r="D12" s="352">
        <v>61000000</v>
      </c>
      <c r="E12" s="355">
        <f>C12-D12</f>
        <v>211000000</v>
      </c>
      <c r="F12" s="288"/>
      <c r="G12" s="289">
        <v>-0.77314805203610837</v>
      </c>
    </row>
    <row r="13" spans="1:10" s="110" customFormat="1" ht="21">
      <c r="A13" s="357">
        <v>2</v>
      </c>
      <c r="B13" s="354" t="s">
        <v>619</v>
      </c>
      <c r="C13" s="352">
        <v>0</v>
      </c>
      <c r="D13" s="352">
        <v>6046497710</v>
      </c>
      <c r="E13" s="355">
        <f>C13-D13</f>
        <v>-6046497710</v>
      </c>
      <c r="F13" s="288"/>
      <c r="G13" s="289"/>
    </row>
    <row r="14" spans="1:10" s="110" customFormat="1" ht="21">
      <c r="A14" s="357">
        <v>3</v>
      </c>
      <c r="B14" s="354" t="s">
        <v>155</v>
      </c>
      <c r="C14" s="352">
        <v>24592875009</v>
      </c>
      <c r="D14" s="352">
        <v>5337894471</v>
      </c>
      <c r="E14" s="355">
        <f t="shared" ref="E14:E20" si="0">C14-D14</f>
        <v>19254980538</v>
      </c>
      <c r="F14" s="288"/>
      <c r="G14" s="290">
        <v>118.20644145506419</v>
      </c>
    </row>
    <row r="15" spans="1:10" s="110" customFormat="1" ht="21">
      <c r="A15" s="357">
        <v>4</v>
      </c>
      <c r="B15" s="354" t="s">
        <v>566</v>
      </c>
      <c r="C15" s="352">
        <v>2161760327</v>
      </c>
      <c r="D15" s="352">
        <v>10441957532</v>
      </c>
      <c r="E15" s="355">
        <f t="shared" si="0"/>
        <v>-8280197205</v>
      </c>
      <c r="F15" s="288"/>
      <c r="G15" s="289">
        <v>0.48171993170463179</v>
      </c>
    </row>
    <row r="16" spans="1:10" s="110" customFormat="1" ht="21">
      <c r="A16" s="357">
        <v>5</v>
      </c>
      <c r="B16" s="354" t="s">
        <v>157</v>
      </c>
      <c r="C16" s="352">
        <v>547316000</v>
      </c>
      <c r="D16" s="352">
        <v>130551000</v>
      </c>
      <c r="E16" s="355">
        <f t="shared" si="0"/>
        <v>416765000</v>
      </c>
      <c r="F16" s="288"/>
      <c r="G16" s="289">
        <v>0.12901849217638692</v>
      </c>
    </row>
    <row r="17" spans="1:10" s="110" customFormat="1" ht="21">
      <c r="A17" s="357">
        <v>6</v>
      </c>
      <c r="B17" s="354" t="s">
        <v>567</v>
      </c>
      <c r="C17" s="352">
        <v>569000000</v>
      </c>
      <c r="D17" s="352">
        <v>142360000</v>
      </c>
      <c r="E17" s="355">
        <f t="shared" si="0"/>
        <v>426640000</v>
      </c>
      <c r="F17" s="288"/>
      <c r="G17" s="289">
        <v>0.25</v>
      </c>
    </row>
    <row r="18" spans="1:10" s="110" customFormat="1" ht="21">
      <c r="A18" s="357">
        <v>7</v>
      </c>
      <c r="B18" s="354" t="s">
        <v>158</v>
      </c>
      <c r="C18" s="352">
        <v>16075316677</v>
      </c>
      <c r="D18" s="352">
        <v>11569922155</v>
      </c>
      <c r="E18" s="355">
        <f t="shared" si="0"/>
        <v>4505394522</v>
      </c>
      <c r="F18" s="288"/>
      <c r="G18" s="289">
        <v>0.66161648506107096</v>
      </c>
    </row>
    <row r="19" spans="1:10" s="110" customFormat="1" ht="21">
      <c r="A19" s="357">
        <v>8</v>
      </c>
      <c r="B19" s="354" t="s">
        <v>159</v>
      </c>
      <c r="C19" s="352">
        <v>10168214249</v>
      </c>
      <c r="D19" s="352">
        <v>8885968253</v>
      </c>
      <c r="E19" s="355">
        <f t="shared" si="0"/>
        <v>1282245996</v>
      </c>
      <c r="F19" s="288"/>
      <c r="G19" s="289">
        <v>0.6767267463375175</v>
      </c>
    </row>
    <row r="20" spans="1:10" s="110" customFormat="1" ht="21">
      <c r="A20" s="357">
        <v>9</v>
      </c>
      <c r="B20" s="354" t="s">
        <v>630</v>
      </c>
      <c r="C20" s="352">
        <v>1819517738</v>
      </c>
      <c r="D20" s="352">
        <v>2500848879</v>
      </c>
      <c r="E20" s="355">
        <f t="shared" si="0"/>
        <v>-681331141</v>
      </c>
      <c r="F20" s="288"/>
      <c r="G20" s="289">
        <v>-0.15931450185314269</v>
      </c>
    </row>
    <row r="21" spans="1:10" s="110" customFormat="1" ht="21">
      <c r="A21" s="668" t="s">
        <v>45</v>
      </c>
      <c r="B21" s="291"/>
      <c r="C21" s="353">
        <f>SUM(C12:C20)</f>
        <v>56206000000</v>
      </c>
      <c r="D21" s="353">
        <f>SUM(D12:D20)</f>
        <v>45117000000</v>
      </c>
      <c r="E21" s="353">
        <f>SUM(E12:E20)</f>
        <v>11089000000</v>
      </c>
      <c r="F21" s="288"/>
      <c r="G21" s="292">
        <v>1.0438730165622863</v>
      </c>
    </row>
    <row r="22" spans="1:10" ht="21.75">
      <c r="A22" s="111"/>
      <c r="B22" s="112"/>
      <c r="C22" s="142"/>
      <c r="D22" s="116"/>
      <c r="E22" s="113"/>
      <c r="F22" s="113"/>
      <c r="G22" s="114"/>
      <c r="H22" s="115"/>
      <c r="I22" s="115"/>
      <c r="J22" s="115"/>
    </row>
    <row r="23" spans="1:10">
      <c r="B23" s="8"/>
      <c r="C23" s="486"/>
      <c r="D23" s="8"/>
    </row>
    <row r="24" spans="1:10">
      <c r="B24" s="8"/>
      <c r="C24" s="8"/>
      <c r="D24" s="8"/>
    </row>
    <row r="25" spans="1:10">
      <c r="B25" s="8"/>
      <c r="C25" s="8"/>
      <c r="D25" s="8"/>
    </row>
    <row r="26" spans="1:10">
      <c r="B26" s="8"/>
      <c r="C26" s="8"/>
      <c r="D26" s="8"/>
    </row>
    <row r="27" spans="1:10">
      <c r="B27" s="8"/>
      <c r="C27" s="8"/>
      <c r="D27" s="8"/>
    </row>
    <row r="28" spans="1:10">
      <c r="B28" s="8"/>
      <c r="C28" s="8"/>
      <c r="D28" s="8"/>
    </row>
    <row r="29" spans="1:10">
      <c r="B29" s="8"/>
      <c r="C29" s="8"/>
      <c r="D29" s="8"/>
    </row>
    <row r="30" spans="1:10">
      <c r="B30" s="8"/>
      <c r="C30" s="8"/>
      <c r="D30" s="8"/>
    </row>
    <row r="31" spans="1:10">
      <c r="B31" s="8"/>
      <c r="C31" s="8"/>
      <c r="D31" s="8"/>
    </row>
  </sheetData>
  <mergeCells count="7">
    <mergeCell ref="A2:J2"/>
    <mergeCell ref="A4:B4"/>
    <mergeCell ref="A5:B5"/>
    <mergeCell ref="A10:A11"/>
    <mergeCell ref="B10:B11"/>
    <mergeCell ref="E10:E11"/>
    <mergeCell ref="A8:E8"/>
  </mergeCells>
  <printOptions horizontalCentered="1"/>
  <pageMargins left="0" right="0" top="0.31496062992125984" bottom="0.39370078740157483" header="0.39370078740157483" footer="0.31496062992125984"/>
  <pageSetup paperSize="9" orientation="landscape" r:id="rId1"/>
  <headerFooter alignWithMargins="0">
    <oddFooter>&amp;C&amp;"B Titr,Bold"&amp;14 &amp;16 28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6:I36"/>
  <sheetViews>
    <sheetView rightToLeft="1" view="pageBreakPreview" topLeftCell="A7" zoomScaleNormal="100" zoomScaleSheetLayoutView="100" workbookViewId="0">
      <selection activeCell="I16" sqref="I16"/>
    </sheetView>
  </sheetViews>
  <sheetFormatPr defaultRowHeight="18"/>
  <cols>
    <col min="1" max="1" width="13.85546875" style="9" bestFit="1" customWidth="1"/>
    <col min="2" max="3" width="9.140625" style="9" customWidth="1"/>
    <col min="4" max="16384" width="9.140625" style="10"/>
  </cols>
  <sheetData>
    <row r="26" spans="1:9" ht="13.5" customHeight="1"/>
    <row r="27" spans="1:9" ht="22.5" customHeight="1">
      <c r="G27" s="863">
        <v>29</v>
      </c>
      <c r="H27" s="863"/>
      <c r="I27" s="863"/>
    </row>
    <row r="29" spans="1:9">
      <c r="A29" s="9" t="s">
        <v>50</v>
      </c>
    </row>
    <row r="31" spans="1:9" ht="18.75">
      <c r="A31" s="11" t="s">
        <v>51</v>
      </c>
    </row>
    <row r="32" spans="1:9">
      <c r="A32" s="9">
        <f>'درآمد دولت'!C5/1000000</f>
        <v>56206</v>
      </c>
    </row>
    <row r="34" spans="1:1" ht="18.75">
      <c r="A34" s="11"/>
    </row>
    <row r="35" spans="1:1" ht="18.75">
      <c r="A35" s="11" t="s">
        <v>52</v>
      </c>
    </row>
    <row r="36" spans="1:1">
      <c r="A36" s="9">
        <f>'درآمد دولت'!D5/1000000</f>
        <v>56206</v>
      </c>
    </row>
  </sheetData>
  <mergeCells count="1">
    <mergeCell ref="G27:I27"/>
  </mergeCells>
  <printOptions horizontalCentered="1" verticalCentered="1"/>
  <pageMargins left="0.31496062992125984" right="0.31496062992125984" top="0.39" bottom="0.32" header="0.31496062992125984" footer="0.31496062992125984"/>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5"/>
  <dimension ref="A1:V30"/>
  <sheetViews>
    <sheetView rightToLeft="1" view="pageBreakPreview" zoomScale="70" zoomScaleNormal="55" zoomScaleSheetLayoutView="70" workbookViewId="0">
      <selection activeCell="F17" sqref="F17:F19"/>
    </sheetView>
  </sheetViews>
  <sheetFormatPr defaultColWidth="10.28515625" defaultRowHeight="12.75"/>
  <cols>
    <col min="1" max="1" width="15" style="21" bestFit="1" customWidth="1"/>
    <col min="2" max="2" width="20.42578125" style="22" customWidth="1"/>
    <col min="3" max="3" width="17.140625" style="22" customWidth="1"/>
    <col min="4" max="4" width="14.28515625" style="22" bestFit="1" customWidth="1"/>
    <col min="5" max="5" width="15.85546875" style="22" bestFit="1" customWidth="1"/>
    <col min="6" max="6" width="17.5703125" style="23" bestFit="1" customWidth="1"/>
    <col min="7" max="7" width="17.42578125" style="21" customWidth="1"/>
    <col min="8" max="9" width="16.140625" style="21" customWidth="1"/>
    <col min="10" max="10" width="16.85546875" style="21" customWidth="1"/>
    <col min="11" max="11" width="19.85546875" style="21" bestFit="1" customWidth="1"/>
    <col min="12" max="12" width="15.5703125" style="21" customWidth="1"/>
    <col min="13" max="13" width="16.7109375" style="21" hidden="1" customWidth="1"/>
    <col min="14" max="14" width="14" style="21" customWidth="1"/>
    <col min="15" max="15" width="12.7109375" style="21" customWidth="1"/>
    <col min="16" max="16" width="9" style="21" hidden="1" customWidth="1"/>
    <col min="17" max="17" width="17.42578125" style="21" customWidth="1"/>
    <col min="18" max="18" width="18.140625" style="21" customWidth="1"/>
    <col min="19" max="19" width="12.42578125" style="21" bestFit="1" customWidth="1"/>
    <col min="20" max="20" width="14.42578125" style="21" bestFit="1" customWidth="1"/>
    <col min="21" max="21" width="14.28515625" style="21" bestFit="1" customWidth="1"/>
    <col min="22" max="16384" width="10.28515625" style="21"/>
  </cols>
  <sheetData>
    <row r="1" spans="1:22" s="148" customFormat="1" ht="44.25">
      <c r="A1" s="864" t="s">
        <v>707</v>
      </c>
      <c r="B1" s="864"/>
      <c r="C1" s="864"/>
      <c r="D1" s="864"/>
      <c r="E1" s="864"/>
      <c r="F1" s="864"/>
      <c r="G1" s="864"/>
      <c r="H1" s="864"/>
      <c r="I1" s="864"/>
      <c r="J1" s="864"/>
      <c r="K1" s="864"/>
      <c r="L1" s="864"/>
      <c r="M1" s="864"/>
      <c r="N1" s="864"/>
      <c r="O1" s="864"/>
      <c r="P1" s="864"/>
      <c r="Q1" s="864"/>
      <c r="R1" s="864"/>
      <c r="S1" s="864"/>
    </row>
    <row r="2" spans="1:22" s="148" customFormat="1" ht="44.25">
      <c r="A2" s="865" t="s">
        <v>117</v>
      </c>
      <c r="B2" s="865"/>
      <c r="C2" s="865"/>
      <c r="D2" s="865"/>
      <c r="E2" s="865"/>
      <c r="F2" s="270"/>
      <c r="G2" s="274"/>
      <c r="H2" s="274"/>
      <c r="I2" s="274"/>
      <c r="J2" s="274"/>
      <c r="K2" s="270"/>
      <c r="L2" s="270"/>
      <c r="M2" s="270"/>
      <c r="N2" s="270"/>
      <c r="O2" s="274"/>
      <c r="P2" s="274"/>
      <c r="Q2" s="274"/>
      <c r="R2" s="274"/>
      <c r="S2" s="271"/>
      <c r="T2" s="149"/>
    </row>
    <row r="3" spans="1:22" s="150" customFormat="1" ht="39" customHeight="1">
      <c r="A3" s="273" t="s">
        <v>0</v>
      </c>
      <c r="B3" s="866" t="s">
        <v>2</v>
      </c>
      <c r="C3" s="867" t="s">
        <v>10</v>
      </c>
      <c r="D3" s="868"/>
      <c r="E3" s="868"/>
      <c r="F3" s="869"/>
      <c r="G3" s="873" t="s">
        <v>4</v>
      </c>
      <c r="H3" s="873"/>
      <c r="I3" s="870" t="s">
        <v>795</v>
      </c>
      <c r="J3" s="870" t="s">
        <v>20</v>
      </c>
      <c r="K3" s="873" t="s">
        <v>9</v>
      </c>
      <c r="L3" s="873"/>
      <c r="M3" s="873"/>
      <c r="N3" s="873"/>
      <c r="O3" s="873"/>
      <c r="P3" s="873"/>
      <c r="Q3" s="874" t="s">
        <v>118</v>
      </c>
      <c r="R3" s="866" t="s">
        <v>639</v>
      </c>
      <c r="S3" s="866"/>
    </row>
    <row r="4" spans="1:22" s="151" customFormat="1" ht="39" customHeight="1">
      <c r="A4" s="873" t="s">
        <v>1</v>
      </c>
      <c r="B4" s="866"/>
      <c r="C4" s="877" t="s">
        <v>429</v>
      </c>
      <c r="D4" s="877" t="s">
        <v>44</v>
      </c>
      <c r="E4" s="879" t="s">
        <v>119</v>
      </c>
      <c r="F4" s="880" t="s">
        <v>3</v>
      </c>
      <c r="G4" s="873"/>
      <c r="H4" s="873"/>
      <c r="I4" s="871"/>
      <c r="J4" s="871"/>
      <c r="K4" s="873" t="s">
        <v>5</v>
      </c>
      <c r="L4" s="866" t="s">
        <v>773</v>
      </c>
      <c r="M4" s="885" t="s">
        <v>620</v>
      </c>
      <c r="N4" s="175" t="s">
        <v>603</v>
      </c>
      <c r="O4" s="866" t="s">
        <v>120</v>
      </c>
      <c r="P4" s="866" t="s">
        <v>111</v>
      </c>
      <c r="Q4" s="875"/>
      <c r="R4" s="866" t="s">
        <v>587</v>
      </c>
      <c r="S4" s="866" t="s">
        <v>623</v>
      </c>
    </row>
    <row r="5" spans="1:22" s="151" customFormat="1" ht="29.25" customHeight="1">
      <c r="A5" s="873"/>
      <c r="B5" s="866"/>
      <c r="C5" s="878"/>
      <c r="D5" s="878"/>
      <c r="E5" s="879"/>
      <c r="F5" s="880"/>
      <c r="G5" s="273" t="s">
        <v>587</v>
      </c>
      <c r="H5" s="273" t="s">
        <v>588</v>
      </c>
      <c r="I5" s="872"/>
      <c r="J5" s="872"/>
      <c r="K5" s="873"/>
      <c r="L5" s="866"/>
      <c r="M5" s="885"/>
      <c r="N5" s="176" t="s">
        <v>604</v>
      </c>
      <c r="O5" s="866"/>
      <c r="P5" s="866"/>
      <c r="Q5" s="876"/>
      <c r="R5" s="866"/>
      <c r="S5" s="866"/>
    </row>
    <row r="6" spans="1:22" s="19" customFormat="1" ht="57.75" customHeight="1">
      <c r="A6" s="881" t="s">
        <v>121</v>
      </c>
      <c r="B6" s="881"/>
      <c r="C6" s="147">
        <f t="shared" ref="C6:N6" si="0">SUM(C7:C9)</f>
        <v>145500000000</v>
      </c>
      <c r="D6" s="147">
        <f t="shared" si="0"/>
        <v>0</v>
      </c>
      <c r="E6" s="147">
        <f t="shared" si="0"/>
        <v>145500000000</v>
      </c>
      <c r="F6" s="147">
        <f t="shared" si="0"/>
        <v>116221000000</v>
      </c>
      <c r="G6" s="147">
        <f t="shared" si="0"/>
        <v>116221000000</v>
      </c>
      <c r="H6" s="147">
        <f t="shared" si="0"/>
        <v>0</v>
      </c>
      <c r="I6" s="147">
        <f t="shared" si="0"/>
        <v>0</v>
      </c>
      <c r="J6" s="147">
        <f t="shared" si="0"/>
        <v>116221000000</v>
      </c>
      <c r="K6" s="147">
        <f t="shared" si="0"/>
        <v>68503878403</v>
      </c>
      <c r="L6" s="147">
        <f t="shared" si="0"/>
        <v>11527989859</v>
      </c>
      <c r="M6" s="147">
        <f t="shared" si="0"/>
        <v>0</v>
      </c>
      <c r="N6" s="147">
        <f t="shared" si="0"/>
        <v>367990000</v>
      </c>
      <c r="O6" s="147">
        <f>SUM(O7:O9)</f>
        <v>422000000</v>
      </c>
      <c r="P6" s="147">
        <f>SUM(P7:P9)</f>
        <v>0</v>
      </c>
      <c r="Q6" s="147">
        <f>SUM(Q7:Q9)</f>
        <v>80821858262</v>
      </c>
      <c r="R6" s="511">
        <f>SUM(R7:R9)</f>
        <v>35399141738</v>
      </c>
      <c r="S6" s="512">
        <f>SUM(S7:S9)</f>
        <v>-1.48773193359375E-4</v>
      </c>
    </row>
    <row r="7" spans="1:22" s="19" customFormat="1" ht="57.75" customHeight="1">
      <c r="A7" s="192">
        <v>1804014000</v>
      </c>
      <c r="B7" s="145" t="s">
        <v>592</v>
      </c>
      <c r="C7" s="146">
        <v>41046000000</v>
      </c>
      <c r="D7" s="146">
        <v>0</v>
      </c>
      <c r="E7" s="146">
        <f>C7+D7</f>
        <v>41046000000</v>
      </c>
      <c r="F7" s="510">
        <v>32786303616.635422</v>
      </c>
      <c r="G7" s="146">
        <f>F7</f>
        <v>32786303616.635422</v>
      </c>
      <c r="H7" s="146">
        <v>0</v>
      </c>
      <c r="I7" s="146">
        <v>0</v>
      </c>
      <c r="J7" s="507">
        <f>G7+H7+I7</f>
        <v>32786303616.635422</v>
      </c>
      <c r="K7" s="509">
        <v>31996313617</v>
      </c>
      <c r="L7" s="146">
        <v>0</v>
      </c>
      <c r="M7" s="146">
        <v>0</v>
      </c>
      <c r="N7" s="509">
        <v>367990000</v>
      </c>
      <c r="O7" s="509">
        <v>422000000</v>
      </c>
      <c r="P7" s="146">
        <v>0</v>
      </c>
      <c r="Q7" s="146">
        <f>SUM(K7:P7)</f>
        <v>32786303617</v>
      </c>
      <c r="R7" s="513">
        <f>J7-Q7</f>
        <v>-0.3645782470703125</v>
      </c>
      <c r="S7" s="513">
        <v>-4.9591064453125E-5</v>
      </c>
    </row>
    <row r="8" spans="1:22" s="19" customFormat="1" ht="57.75" customHeight="1">
      <c r="A8" s="192">
        <v>1805005000</v>
      </c>
      <c r="B8" s="145" t="s">
        <v>593</v>
      </c>
      <c r="C8" s="146">
        <v>49470000000</v>
      </c>
      <c r="D8" s="146">
        <v>0</v>
      </c>
      <c r="E8" s="146">
        <f>C8+D8</f>
        <v>49470000000</v>
      </c>
      <c r="F8" s="509">
        <f>39515140084.66-249</f>
        <v>39515139835.660004</v>
      </c>
      <c r="G8" s="146">
        <f>F8</f>
        <v>39515139835.660004</v>
      </c>
      <c r="H8" s="146">
        <v>0</v>
      </c>
      <c r="I8" s="146">
        <v>0</v>
      </c>
      <c r="J8" s="507">
        <f>G8+H8+I8</f>
        <v>39515139835.660004</v>
      </c>
      <c r="K8" s="509">
        <v>4115998097</v>
      </c>
      <c r="L8" s="146">
        <v>0</v>
      </c>
      <c r="M8" s="146">
        <v>0</v>
      </c>
      <c r="N8" s="146">
        <v>0</v>
      </c>
      <c r="O8" s="146">
        <v>0</v>
      </c>
      <c r="P8" s="146">
        <v>0</v>
      </c>
      <c r="Q8" s="146">
        <f>SUM(K8:P8)</f>
        <v>4115998097</v>
      </c>
      <c r="R8" s="513">
        <f>J8-Q8</f>
        <v>35399141738.660004</v>
      </c>
      <c r="S8" s="513">
        <v>-4.9591064453125E-5</v>
      </c>
    </row>
    <row r="9" spans="1:22" s="19" customFormat="1" ht="57.75" customHeight="1">
      <c r="A9" s="192">
        <v>1805012000</v>
      </c>
      <c r="B9" s="145" t="s">
        <v>594</v>
      </c>
      <c r="C9" s="146">
        <v>54984000000</v>
      </c>
      <c r="D9" s="146">
        <v>0</v>
      </c>
      <c r="E9" s="146">
        <f>C9+D9</f>
        <v>54984000000</v>
      </c>
      <c r="F9" s="510">
        <v>43919556547.704575</v>
      </c>
      <c r="G9" s="146">
        <f>F9</f>
        <v>43919556547.704575</v>
      </c>
      <c r="H9" s="146">
        <v>0</v>
      </c>
      <c r="I9" s="146">
        <v>0</v>
      </c>
      <c r="J9" s="507">
        <f>G9+H9+I9</f>
        <v>43919556547.704575</v>
      </c>
      <c r="K9" s="509">
        <f>31953542370+217991711+54750489+140416117+24866002</f>
        <v>32391566689</v>
      </c>
      <c r="L9" s="509">
        <f>11966014178-217991711-(54750489+140416117+24866002)</f>
        <v>11527989859</v>
      </c>
      <c r="M9" s="146">
        <v>0</v>
      </c>
      <c r="N9" s="146">
        <v>0</v>
      </c>
      <c r="O9" s="146">
        <v>0</v>
      </c>
      <c r="P9" s="146">
        <v>0</v>
      </c>
      <c r="Q9" s="146">
        <f>SUM(K9:P9)</f>
        <v>43919556548</v>
      </c>
      <c r="R9" s="513">
        <f>J9-Q9</f>
        <v>-0.2954254150390625</v>
      </c>
      <c r="S9" s="513">
        <v>-4.9591064453125E-5</v>
      </c>
    </row>
    <row r="10" spans="1:22" s="19" customFormat="1" ht="57.75" customHeight="1">
      <c r="A10" s="881" t="s">
        <v>124</v>
      </c>
      <c r="B10" s="881"/>
      <c r="C10" s="143">
        <f t="shared" ref="C10:S10" si="1">SUM(C11:C13)</f>
        <v>38800000000</v>
      </c>
      <c r="D10" s="143">
        <f t="shared" si="1"/>
        <v>17406000000</v>
      </c>
      <c r="E10" s="143">
        <f t="shared" si="1"/>
        <v>56206000000</v>
      </c>
      <c r="F10" s="143">
        <f t="shared" si="1"/>
        <v>54519820000</v>
      </c>
      <c r="G10" s="143">
        <f t="shared" si="1"/>
        <v>54519819997</v>
      </c>
      <c r="H10" s="143">
        <f t="shared" si="1"/>
        <v>0</v>
      </c>
      <c r="I10" s="143">
        <f t="shared" si="1"/>
        <v>-8300000000</v>
      </c>
      <c r="J10" s="143">
        <f t="shared" si="1"/>
        <v>46219819997</v>
      </c>
      <c r="K10" s="143">
        <f t="shared" si="1"/>
        <v>31672946330</v>
      </c>
      <c r="L10" s="143">
        <f t="shared" si="1"/>
        <v>178891824</v>
      </c>
      <c r="M10" s="143">
        <f t="shared" si="1"/>
        <v>0</v>
      </c>
      <c r="N10" s="143">
        <f t="shared" si="1"/>
        <v>74000000</v>
      </c>
      <c r="O10" s="143">
        <f t="shared" si="1"/>
        <v>477600000</v>
      </c>
      <c r="P10" s="143">
        <f t="shared" si="1"/>
        <v>0</v>
      </c>
      <c r="Q10" s="143">
        <f t="shared" si="1"/>
        <v>32403438154</v>
      </c>
      <c r="R10" s="143">
        <f t="shared" si="1"/>
        <v>13816381843</v>
      </c>
      <c r="S10" s="143">
        <f t="shared" si="1"/>
        <v>0</v>
      </c>
      <c r="V10" s="20"/>
    </row>
    <row r="11" spans="1:22" s="19" customFormat="1" ht="57.75" customHeight="1">
      <c r="A11" s="192">
        <v>1804014000</v>
      </c>
      <c r="B11" s="145" t="s">
        <v>592</v>
      </c>
      <c r="C11" s="146">
        <v>11640000000</v>
      </c>
      <c r="D11" s="146">
        <f>16206000000+(40000000000-38800000000)</f>
        <v>17406000000</v>
      </c>
      <c r="E11" s="146">
        <f>C11+D11</f>
        <v>29046000000</v>
      </c>
      <c r="F11" s="146">
        <f>54519820000-F12-F13</f>
        <v>27359820000</v>
      </c>
      <c r="G11" s="146">
        <f>F11-3</f>
        <v>27359819997</v>
      </c>
      <c r="H11" s="146">
        <v>0</v>
      </c>
      <c r="I11" s="146">
        <v>-8300000000</v>
      </c>
      <c r="J11" s="507">
        <f>G11+H11+I11</f>
        <v>19059819997</v>
      </c>
      <c r="K11" s="146">
        <f>212500000+321804000+31138642330-K12-K13</f>
        <v>4691838154</v>
      </c>
      <c r="L11" s="146">
        <v>0</v>
      </c>
      <c r="M11" s="146">
        <v>0</v>
      </c>
      <c r="N11" s="146">
        <v>74000000</v>
      </c>
      <c r="O11" s="146">
        <v>477600000</v>
      </c>
      <c r="P11" s="146">
        <v>0</v>
      </c>
      <c r="Q11" s="146">
        <f>SUM(K11:P11)</f>
        <v>5243438154</v>
      </c>
      <c r="R11" s="513">
        <f>J11-Q11</f>
        <v>13816381843</v>
      </c>
      <c r="S11" s="146"/>
      <c r="V11" s="20"/>
    </row>
    <row r="12" spans="1:22" s="19" customFormat="1" ht="57.75" customHeight="1">
      <c r="A12" s="192">
        <v>1805005000</v>
      </c>
      <c r="B12" s="145" t="s">
        <v>593</v>
      </c>
      <c r="C12" s="146">
        <v>13580000000</v>
      </c>
      <c r="D12" s="146">
        <v>0</v>
      </c>
      <c r="E12" s="146">
        <f>C12+D12</f>
        <v>13580000000</v>
      </c>
      <c r="F12" s="146">
        <v>13580000000</v>
      </c>
      <c r="G12" s="146">
        <f>F12</f>
        <v>13580000000</v>
      </c>
      <c r="H12" s="146">
        <v>0</v>
      </c>
      <c r="I12" s="146"/>
      <c r="J12" s="507">
        <f>G12+H12+I12</f>
        <v>13580000000</v>
      </c>
      <c r="K12" s="506">
        <v>13580000000</v>
      </c>
      <c r="L12" s="508">
        <v>0</v>
      </c>
      <c r="M12" s="146">
        <v>0</v>
      </c>
      <c r="N12" s="146">
        <v>0</v>
      </c>
      <c r="O12" s="146">
        <v>0</v>
      </c>
      <c r="P12" s="146">
        <v>0</v>
      </c>
      <c r="Q12" s="146">
        <f>SUM(K12:P12)</f>
        <v>13580000000</v>
      </c>
      <c r="R12" s="513">
        <f>J12-Q12</f>
        <v>0</v>
      </c>
      <c r="S12" s="513">
        <v>0</v>
      </c>
      <c r="V12" s="20"/>
    </row>
    <row r="13" spans="1:22" s="19" customFormat="1" ht="57.75" customHeight="1">
      <c r="A13" s="192">
        <v>1805012000</v>
      </c>
      <c r="B13" s="145" t="s">
        <v>594</v>
      </c>
      <c r="C13" s="146">
        <v>13580000000</v>
      </c>
      <c r="D13" s="146">
        <v>0</v>
      </c>
      <c r="E13" s="146">
        <f>C13+D13</f>
        <v>13580000000</v>
      </c>
      <c r="F13" s="506">
        <v>13580000000</v>
      </c>
      <c r="G13" s="146">
        <f>F13</f>
        <v>13580000000</v>
      </c>
      <c r="H13" s="146">
        <v>0</v>
      </c>
      <c r="I13" s="146"/>
      <c r="J13" s="507">
        <f>G13+H13+I13</f>
        <v>13580000000</v>
      </c>
      <c r="K13" s="506">
        <v>13401108176</v>
      </c>
      <c r="L13" s="509">
        <v>178891824</v>
      </c>
      <c r="M13" s="146">
        <v>0</v>
      </c>
      <c r="N13" s="146">
        <v>0</v>
      </c>
      <c r="O13" s="146">
        <v>0</v>
      </c>
      <c r="P13" s="146">
        <v>0</v>
      </c>
      <c r="Q13" s="146">
        <f>SUM(K13:P13)</f>
        <v>13580000000</v>
      </c>
      <c r="R13" s="513">
        <f>J13-Q13</f>
        <v>0</v>
      </c>
      <c r="S13" s="513">
        <v>0</v>
      </c>
      <c r="V13" s="20"/>
    </row>
    <row r="14" spans="1:22" s="19" customFormat="1" ht="57.75" customHeight="1">
      <c r="A14" s="882" t="s">
        <v>11</v>
      </c>
      <c r="B14" s="883"/>
      <c r="C14" s="143">
        <f t="shared" ref="C14:R14" si="2">SUM(C15:C19)</f>
        <v>19590000000</v>
      </c>
      <c r="D14" s="143">
        <f t="shared" si="2"/>
        <v>0</v>
      </c>
      <c r="E14" s="143">
        <f>SUM(E15:E19)</f>
        <v>19590000000</v>
      </c>
      <c r="F14" s="143">
        <f t="shared" si="2"/>
        <v>8940000000</v>
      </c>
      <c r="G14" s="143">
        <f t="shared" si="2"/>
        <v>5116000000</v>
      </c>
      <c r="H14" s="143">
        <f t="shared" si="2"/>
        <v>3824000000</v>
      </c>
      <c r="I14" s="143">
        <f t="shared" si="2"/>
        <v>8300000000</v>
      </c>
      <c r="J14" s="143">
        <f t="shared" si="2"/>
        <v>17240000000</v>
      </c>
      <c r="K14" s="143">
        <f t="shared" si="2"/>
        <v>14390000000</v>
      </c>
      <c r="L14" s="143">
        <f t="shared" si="2"/>
        <v>0</v>
      </c>
      <c r="M14" s="143">
        <f t="shared" si="2"/>
        <v>0</v>
      </c>
      <c r="N14" s="143">
        <f t="shared" si="2"/>
        <v>0</v>
      </c>
      <c r="O14" s="143">
        <f t="shared" si="2"/>
        <v>0</v>
      </c>
      <c r="P14" s="143">
        <f t="shared" si="2"/>
        <v>0</v>
      </c>
      <c r="Q14" s="143">
        <f t="shared" si="2"/>
        <v>14390000000</v>
      </c>
      <c r="R14" s="143">
        <f t="shared" si="2"/>
        <v>0</v>
      </c>
      <c r="S14" s="143">
        <f>SUM(S15:S19)</f>
        <v>2850000000</v>
      </c>
      <c r="V14" s="20"/>
    </row>
    <row r="15" spans="1:22" s="19" customFormat="1" ht="57.75" customHeight="1">
      <c r="A15" s="144">
        <v>1804014009</v>
      </c>
      <c r="B15" s="145" t="s">
        <v>125</v>
      </c>
      <c r="C15" s="146">
        <v>6090000000</v>
      </c>
      <c r="D15" s="146">
        <v>0</v>
      </c>
      <c r="E15" s="146">
        <f>C15+D15</f>
        <v>6090000000</v>
      </c>
      <c r="F15" s="510">
        <v>6090000000</v>
      </c>
      <c r="G15" s="146">
        <v>5116000000</v>
      </c>
      <c r="H15" s="146">
        <v>974000000</v>
      </c>
      <c r="I15" s="146"/>
      <c r="J15" s="507">
        <f>G15+H15+I15</f>
        <v>6090000000</v>
      </c>
      <c r="K15" s="146">
        <v>6090000000</v>
      </c>
      <c r="L15" s="146">
        <v>0</v>
      </c>
      <c r="M15" s="146">
        <v>0</v>
      </c>
      <c r="N15" s="146">
        <v>0</v>
      </c>
      <c r="O15" s="146">
        <v>0</v>
      </c>
      <c r="P15" s="146">
        <v>0</v>
      </c>
      <c r="Q15" s="146">
        <f>SUM(K15:P15)</f>
        <v>6090000000</v>
      </c>
      <c r="R15" s="513">
        <f>J15-Q15</f>
        <v>0</v>
      </c>
      <c r="S15" s="513">
        <v>0</v>
      </c>
      <c r="V15" s="20"/>
    </row>
    <row r="16" spans="1:22" s="19" customFormat="1" ht="57.75" customHeight="1">
      <c r="A16" s="144" t="s">
        <v>705</v>
      </c>
      <c r="B16" s="145" t="s">
        <v>778</v>
      </c>
      <c r="C16" s="146">
        <v>0</v>
      </c>
      <c r="D16" s="146">
        <v>0</v>
      </c>
      <c r="E16" s="146">
        <f>C16+D16</f>
        <v>0</v>
      </c>
      <c r="F16" s="510">
        <v>0</v>
      </c>
      <c r="G16" s="146">
        <f>F16</f>
        <v>0</v>
      </c>
      <c r="H16" s="146">
        <v>0</v>
      </c>
      <c r="I16" s="146">
        <v>8300000000</v>
      </c>
      <c r="J16" s="507">
        <f>G16+H16+I16</f>
        <v>8300000000</v>
      </c>
      <c r="K16" s="146">
        <v>8300000000</v>
      </c>
      <c r="L16" s="146"/>
      <c r="M16" s="146"/>
      <c r="N16" s="146"/>
      <c r="O16" s="146"/>
      <c r="P16" s="146"/>
      <c r="Q16" s="146">
        <f>SUM(K16:P16)</f>
        <v>8300000000</v>
      </c>
      <c r="R16" s="513">
        <f>J16-Q16</f>
        <v>0</v>
      </c>
      <c r="S16" s="513">
        <v>0</v>
      </c>
      <c r="V16" s="20"/>
    </row>
    <row r="17" spans="1:22" s="19" customFormat="1" ht="57.75" customHeight="1">
      <c r="A17" s="144">
        <v>1804014009</v>
      </c>
      <c r="B17" s="514" t="s">
        <v>774</v>
      </c>
      <c r="C17" s="146">
        <v>10000000000</v>
      </c>
      <c r="D17" s="146">
        <v>0</v>
      </c>
      <c r="E17" s="146">
        <f>C17+D17</f>
        <v>10000000000</v>
      </c>
      <c r="F17" s="510">
        <v>2500000000</v>
      </c>
      <c r="G17" s="146">
        <v>0</v>
      </c>
      <c r="H17" s="146">
        <f>F17</f>
        <v>2500000000</v>
      </c>
      <c r="I17" s="146"/>
      <c r="J17" s="507">
        <f>G17+H17+I17</f>
        <v>2500000000</v>
      </c>
      <c r="K17" s="146">
        <v>0</v>
      </c>
      <c r="L17" s="146">
        <v>0</v>
      </c>
      <c r="M17" s="146">
        <v>0</v>
      </c>
      <c r="N17" s="146">
        <v>0</v>
      </c>
      <c r="O17" s="146">
        <v>0</v>
      </c>
      <c r="P17" s="146">
        <v>0</v>
      </c>
      <c r="Q17" s="146">
        <f>SUM(K17:P17)</f>
        <v>0</v>
      </c>
      <c r="R17" s="513">
        <v>0</v>
      </c>
      <c r="S17" s="513">
        <f>J17-Q17</f>
        <v>2500000000</v>
      </c>
      <c r="V17" s="20"/>
    </row>
    <row r="18" spans="1:22" s="19" customFormat="1" ht="57.75" customHeight="1">
      <c r="A18" s="144">
        <v>1804014009</v>
      </c>
      <c r="B18" s="514" t="s">
        <v>775</v>
      </c>
      <c r="C18" s="146">
        <v>1500000000</v>
      </c>
      <c r="D18" s="146">
        <v>0</v>
      </c>
      <c r="E18" s="146">
        <f>C18+D18</f>
        <v>1500000000</v>
      </c>
      <c r="F18" s="510">
        <v>150000000</v>
      </c>
      <c r="G18" s="146">
        <v>0</v>
      </c>
      <c r="H18" s="146">
        <f>F18</f>
        <v>150000000</v>
      </c>
      <c r="I18" s="146"/>
      <c r="J18" s="507">
        <f>G18+H18+I18</f>
        <v>150000000</v>
      </c>
      <c r="K18" s="146">
        <v>0</v>
      </c>
      <c r="L18" s="146">
        <v>0</v>
      </c>
      <c r="M18" s="146">
        <v>0</v>
      </c>
      <c r="N18" s="146">
        <v>0</v>
      </c>
      <c r="O18" s="146">
        <v>0</v>
      </c>
      <c r="P18" s="146">
        <v>0</v>
      </c>
      <c r="Q18" s="146">
        <f>SUM(K18:P18)</f>
        <v>0</v>
      </c>
      <c r="R18" s="513">
        <v>0</v>
      </c>
      <c r="S18" s="513">
        <f>J18-Q18</f>
        <v>150000000</v>
      </c>
      <c r="V18" s="20"/>
    </row>
    <row r="19" spans="1:22" s="19" customFormat="1" ht="57.75" customHeight="1">
      <c r="A19" s="144">
        <v>1804014009</v>
      </c>
      <c r="B19" s="514" t="s">
        <v>776</v>
      </c>
      <c r="C19" s="146">
        <v>2000000000</v>
      </c>
      <c r="D19" s="146">
        <v>0</v>
      </c>
      <c r="E19" s="146">
        <f>C19+D19</f>
        <v>2000000000</v>
      </c>
      <c r="F19" s="510">
        <v>200000000</v>
      </c>
      <c r="G19" s="146">
        <v>0</v>
      </c>
      <c r="H19" s="146">
        <f>F19</f>
        <v>200000000</v>
      </c>
      <c r="I19" s="146"/>
      <c r="J19" s="507">
        <f>G19+H19+I19</f>
        <v>200000000</v>
      </c>
      <c r="K19" s="146">
        <v>0</v>
      </c>
      <c r="L19" s="146">
        <v>0</v>
      </c>
      <c r="M19" s="146">
        <v>0</v>
      </c>
      <c r="N19" s="146">
        <v>0</v>
      </c>
      <c r="O19" s="146">
        <v>0</v>
      </c>
      <c r="P19" s="146">
        <v>0</v>
      </c>
      <c r="Q19" s="146">
        <f>SUM(K19:P19)</f>
        <v>0</v>
      </c>
      <c r="R19" s="513">
        <v>0</v>
      </c>
      <c r="S19" s="513">
        <f>J19-Q19</f>
        <v>200000000</v>
      </c>
      <c r="V19" s="20"/>
    </row>
    <row r="20" spans="1:22" s="19" customFormat="1" ht="57.75" customHeight="1">
      <c r="A20" s="884" t="s">
        <v>126</v>
      </c>
      <c r="B20" s="884"/>
      <c r="C20" s="143">
        <f t="shared" ref="C20:S20" si="3">C6+C10+C14</f>
        <v>203890000000</v>
      </c>
      <c r="D20" s="143">
        <f t="shared" si="3"/>
        <v>17406000000</v>
      </c>
      <c r="E20" s="143">
        <f t="shared" si="3"/>
        <v>221296000000</v>
      </c>
      <c r="F20" s="143">
        <f t="shared" si="3"/>
        <v>179680820000</v>
      </c>
      <c r="G20" s="143">
        <f t="shared" si="3"/>
        <v>175856819997</v>
      </c>
      <c r="H20" s="143">
        <f t="shared" si="3"/>
        <v>3824000000</v>
      </c>
      <c r="I20" s="143">
        <f t="shared" si="3"/>
        <v>0</v>
      </c>
      <c r="J20" s="143">
        <f t="shared" si="3"/>
        <v>179680819997</v>
      </c>
      <c r="K20" s="143">
        <f t="shared" si="3"/>
        <v>114566824733</v>
      </c>
      <c r="L20" s="143">
        <f t="shared" si="3"/>
        <v>11706881683</v>
      </c>
      <c r="M20" s="143">
        <f t="shared" si="3"/>
        <v>0</v>
      </c>
      <c r="N20" s="143">
        <f t="shared" si="3"/>
        <v>441990000</v>
      </c>
      <c r="O20" s="143">
        <f t="shared" si="3"/>
        <v>899600000</v>
      </c>
      <c r="P20" s="143">
        <f t="shared" si="3"/>
        <v>0</v>
      </c>
      <c r="Q20" s="143">
        <f t="shared" si="3"/>
        <v>127615296416</v>
      </c>
      <c r="R20" s="143">
        <f t="shared" si="3"/>
        <v>49215523581</v>
      </c>
      <c r="S20" s="143">
        <f t="shared" si="3"/>
        <v>2849999999.9998512</v>
      </c>
      <c r="U20" s="20"/>
    </row>
    <row r="21" spans="1:22">
      <c r="K21" s="23"/>
      <c r="L21" s="23"/>
      <c r="M21" s="23"/>
      <c r="N21" s="23"/>
      <c r="O21" s="24"/>
      <c r="P21" s="23"/>
      <c r="R21" s="152"/>
    </row>
    <row r="22" spans="1:22">
      <c r="E22" s="155">
        <f>E20-F20</f>
        <v>41615180000</v>
      </c>
      <c r="J22" s="23"/>
      <c r="O22" s="24"/>
      <c r="P22" s="23"/>
      <c r="R22" s="152"/>
    </row>
    <row r="23" spans="1:22" ht="19.5" customHeight="1">
      <c r="K23" s="23">
        <f>K20+'وجوه مصرف نشده'!I28+ابلاغي!J19+'سايرمنابع جاری'!K18</f>
        <v>173788651340</v>
      </c>
      <c r="O23" s="24"/>
      <c r="P23" s="23"/>
      <c r="R23" s="152"/>
    </row>
    <row r="24" spans="1:22" ht="19.5" customHeight="1">
      <c r="K24" s="23">
        <f>'منابع ومصارف'!G58-'منابع ومصارف'!G47</f>
        <v>172581241340</v>
      </c>
      <c r="O24" s="24"/>
      <c r="P24" s="23"/>
      <c r="R24" s="545">
        <f>R20+'وجوه مصرف نشده'!S28+ابلاغي!K19+'سايرمنابع جاری'!L18</f>
        <v>99145021477.040009</v>
      </c>
    </row>
    <row r="25" spans="1:22" ht="19.5" customHeight="1">
      <c r="K25" s="23">
        <f>K24-K23</f>
        <v>-1207410000</v>
      </c>
      <c r="O25" s="24"/>
      <c r="P25" s="23"/>
      <c r="R25" s="546">
        <f>يادداشتها!F7+يادداشتها!F8+يادداشتها!F9</f>
        <v>99145021477</v>
      </c>
    </row>
    <row r="26" spans="1:22" ht="19.5" customHeight="1">
      <c r="O26" s="24"/>
      <c r="R26" s="546">
        <f>R25-R24</f>
        <v>-4.0008544921875E-2</v>
      </c>
    </row>
    <row r="27" spans="1:22" ht="19.5" customHeight="1">
      <c r="R27" s="23"/>
    </row>
    <row r="28" spans="1:22" ht="19.5" customHeight="1">
      <c r="P28" s="23"/>
      <c r="Q28" s="23"/>
      <c r="R28" s="546"/>
    </row>
    <row r="29" spans="1:22" ht="18">
      <c r="R29" s="546"/>
    </row>
    <row r="30" spans="1:22" ht="15">
      <c r="Q30" s="25"/>
    </row>
  </sheetData>
  <mergeCells count="26">
    <mergeCell ref="P4:P5"/>
    <mergeCell ref="A6:B6"/>
    <mergeCell ref="A14:B14"/>
    <mergeCell ref="A20:B20"/>
    <mergeCell ref="O4:O5"/>
    <mergeCell ref="M4:M5"/>
    <mergeCell ref="L4:L5"/>
    <mergeCell ref="G3:H4"/>
    <mergeCell ref="A10:B10"/>
    <mergeCell ref="I3:I5"/>
    <mergeCell ref="A1:S1"/>
    <mergeCell ref="A2:E2"/>
    <mergeCell ref="B3:B5"/>
    <mergeCell ref="C3:F3"/>
    <mergeCell ref="J3:J5"/>
    <mergeCell ref="K3:P3"/>
    <mergeCell ref="Q3:Q5"/>
    <mergeCell ref="A4:A5"/>
    <mergeCell ref="C4:C5"/>
    <mergeCell ref="D4:D5"/>
    <mergeCell ref="E4:E5"/>
    <mergeCell ref="F4:F5"/>
    <mergeCell ref="K4:K5"/>
    <mergeCell ref="R3:S3"/>
    <mergeCell ref="R4:R5"/>
    <mergeCell ref="S4:S5"/>
  </mergeCells>
  <phoneticPr fontId="3" type="noConversion"/>
  <printOptions horizontalCentered="1"/>
  <pageMargins left="0" right="0" top="0.27559055118110237" bottom="0" header="0" footer="0"/>
  <pageSetup paperSize="9" scale="51" orientation="landscape" r:id="rId1"/>
  <headerFooter scaleWithDoc="0" alignWithMargins="0">
    <oddFooter>&amp;C&amp;"B Titr,Bold"&amp;18 &amp;26 &amp;22 &amp;20 &amp;16 &amp;14 &amp;12 34</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2:M43"/>
  <sheetViews>
    <sheetView rightToLeft="1" view="pageBreakPreview" topLeftCell="A10" zoomScaleNormal="100" zoomScaleSheetLayoutView="100" workbookViewId="0">
      <selection activeCell="A33" sqref="A33:M33"/>
    </sheetView>
  </sheetViews>
  <sheetFormatPr defaultRowHeight="15"/>
  <cols>
    <col min="1" max="1" width="15.28515625" style="12" bestFit="1" customWidth="1"/>
    <col min="2" max="10" width="9.140625" style="12"/>
    <col min="11" max="11" width="13" style="12" customWidth="1"/>
    <col min="12" max="16384" width="9.140625" style="12"/>
  </cols>
  <sheetData>
    <row r="32" ht="14.25" customHeight="1"/>
    <row r="33" spans="1:13" ht="25.5">
      <c r="A33" s="886">
        <v>35</v>
      </c>
      <c r="B33" s="886"/>
      <c r="C33" s="886"/>
      <c r="D33" s="886"/>
      <c r="E33" s="886"/>
      <c r="F33" s="886"/>
      <c r="G33" s="886"/>
      <c r="H33" s="886"/>
      <c r="I33" s="886"/>
      <c r="J33" s="886"/>
      <c r="K33" s="886"/>
      <c r="L33" s="886"/>
      <c r="M33" s="886"/>
    </row>
    <row r="36" spans="1:13" ht="18">
      <c r="A36" s="9" t="s">
        <v>503</v>
      </c>
      <c r="B36" s="9">
        <f>' مصوب'!C6/1000000</f>
        <v>145500</v>
      </c>
    </row>
    <row r="37" spans="1:13" ht="18">
      <c r="A37" s="9" t="s">
        <v>54</v>
      </c>
      <c r="B37" s="9">
        <f>' مصوب'!E14/1000000</f>
        <v>19590</v>
      </c>
    </row>
    <row r="38" spans="1:13" ht="18">
      <c r="A38" s="9" t="s">
        <v>55</v>
      </c>
      <c r="B38" s="9">
        <f>' مصوب'!E10/1000000</f>
        <v>56206</v>
      </c>
    </row>
    <row r="41" spans="1:13" ht="18">
      <c r="B41" s="10" t="s">
        <v>858</v>
      </c>
    </row>
    <row r="42" spans="1:13" ht="18">
      <c r="B42" s="10" t="s">
        <v>859</v>
      </c>
    </row>
    <row r="43" spans="1:13" ht="18">
      <c r="B43" s="10" t="s">
        <v>860</v>
      </c>
    </row>
  </sheetData>
  <sheetProtection selectLockedCells="1" selectUnlockedCells="1"/>
  <mergeCells count="1">
    <mergeCell ref="A33:M33"/>
  </mergeCells>
  <printOptions horizontalCentered="1" verticalCentered="1"/>
  <pageMargins left="0.31496062992125984" right="0.19685039370078741" top="0.35433070866141736" bottom="0.35433070866141736" header="0.31496062992125984" footer="0.31496062992125984"/>
  <pageSetup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8:K49"/>
  <sheetViews>
    <sheetView rightToLeft="1" view="pageBreakPreview" topLeftCell="A5" zoomScale="85" zoomScaleNormal="100" zoomScaleSheetLayoutView="85" workbookViewId="0">
      <selection activeCell="F32" sqref="F32"/>
    </sheetView>
  </sheetViews>
  <sheetFormatPr defaultRowHeight="18"/>
  <cols>
    <col min="1" max="1" width="20.85546875" style="9" bestFit="1" customWidth="1"/>
    <col min="2" max="3" width="9.140625" style="9" customWidth="1"/>
    <col min="4" max="16384" width="9.140625" style="12"/>
  </cols>
  <sheetData>
    <row r="28" spans="6:11" ht="28.5">
      <c r="F28" s="887"/>
      <c r="G28" s="887"/>
    </row>
    <row r="30" spans="6:11">
      <c r="K30" s="8"/>
    </row>
    <row r="31" spans="6:11" ht="32.25">
      <c r="F31" s="669">
        <v>36</v>
      </c>
    </row>
    <row r="38" spans="1:5">
      <c r="A38" s="9" t="s">
        <v>46</v>
      </c>
    </row>
    <row r="39" spans="1:5">
      <c r="B39" s="9">
        <f>ن2!$B$36</f>
        <v>145500</v>
      </c>
      <c r="E39" s="9" t="s">
        <v>29</v>
      </c>
    </row>
    <row r="40" spans="1:5">
      <c r="B40" s="9">
        <f>ن2!$B$37</f>
        <v>19590</v>
      </c>
      <c r="E40" s="9" t="s">
        <v>30</v>
      </c>
    </row>
    <row r="41" spans="1:5">
      <c r="B41" s="9">
        <f>ن2!$B$38</f>
        <v>56206</v>
      </c>
      <c r="E41" s="9" t="s">
        <v>31</v>
      </c>
    </row>
    <row r="43" spans="1:5">
      <c r="A43" s="9" t="s">
        <v>47</v>
      </c>
      <c r="B43" s="9">
        <f>' مصوب'!F6/1000000</f>
        <v>116221</v>
      </c>
    </row>
    <row r="44" spans="1:5">
      <c r="B44" s="9">
        <f>' مصوب'!J14/1000000</f>
        <v>17240</v>
      </c>
    </row>
    <row r="45" spans="1:5">
      <c r="B45" s="9">
        <f>' مصوب'!F10/1000000</f>
        <v>54519.82</v>
      </c>
    </row>
    <row r="47" spans="1:5">
      <c r="A47" s="9" t="s">
        <v>21</v>
      </c>
      <c r="B47" s="9">
        <f>B43</f>
        <v>116221</v>
      </c>
    </row>
    <row r="48" spans="1:5">
      <c r="B48" s="9">
        <f>' مصوب'!J14/1000000</f>
        <v>17240</v>
      </c>
    </row>
    <row r="49" spans="2:2">
      <c r="B49" s="9">
        <f>B45</f>
        <v>54519.82</v>
      </c>
    </row>
  </sheetData>
  <mergeCells count="1">
    <mergeCell ref="F28:G28"/>
  </mergeCells>
  <printOptions horizontalCentered="1" verticalCentered="1"/>
  <pageMargins left="0.15748031496062992" right="0.15748031496062992" top="0.39370078740157483" bottom="0.35433070866141736" header="0.31496062992125984" footer="0.31496062992125984"/>
  <pageSetup scale="95"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1"/>
  <sheetViews>
    <sheetView rightToLeft="1" view="pageBreakPreview" zoomScale="80" zoomScaleNormal="100" zoomScaleSheetLayoutView="80" workbookViewId="0">
      <selection activeCell="K34" sqref="K34"/>
    </sheetView>
  </sheetViews>
  <sheetFormatPr defaultRowHeight="18"/>
  <cols>
    <col min="1" max="1" width="20.85546875" style="9" bestFit="1" customWidth="1"/>
    <col min="2" max="3" width="9.140625" style="9" customWidth="1"/>
    <col min="4" max="4" width="19" style="12" customWidth="1"/>
    <col min="5" max="10" width="9.140625" style="12"/>
    <col min="11" max="11" width="18.140625" style="12" customWidth="1"/>
    <col min="12" max="16384" width="9.140625" style="12"/>
  </cols>
  <sheetData>
    <row r="1" ht="8.25" customHeight="1"/>
    <row r="28" spans="1:6" ht="32.25">
      <c r="E28" s="888">
        <v>37</v>
      </c>
      <c r="F28" s="888"/>
    </row>
    <row r="32" spans="1:6">
      <c r="A32" s="9" t="s">
        <v>21</v>
      </c>
    </row>
    <row r="33" spans="1:4">
      <c r="A33" s="9">
        <f>ن1!$B$47</f>
        <v>116221</v>
      </c>
      <c r="D33" s="9" t="s">
        <v>29</v>
      </c>
    </row>
    <row r="34" spans="1:4">
      <c r="A34" s="9">
        <f>ن1!$B$48</f>
        <v>17240</v>
      </c>
      <c r="D34" s="9" t="s">
        <v>30</v>
      </c>
    </row>
    <row r="35" spans="1:4">
      <c r="A35" s="9">
        <f>ن1!$B$49</f>
        <v>54519.82</v>
      </c>
      <c r="D35" s="9" t="s">
        <v>31</v>
      </c>
    </row>
    <row r="36" spans="1:4">
      <c r="A36" s="9" t="s">
        <v>32</v>
      </c>
    </row>
    <row r="37" spans="1:4">
      <c r="A37" s="9">
        <f>' مصوب'!K6/1000000</f>
        <v>68503.878402999995</v>
      </c>
      <c r="D37" s="9" t="s">
        <v>29</v>
      </c>
    </row>
    <row r="38" spans="1:4">
      <c r="A38" s="9">
        <f>' مصوب'!K14/1000000</f>
        <v>14390</v>
      </c>
      <c r="D38" s="9" t="s">
        <v>30</v>
      </c>
    </row>
    <row r="39" spans="1:4">
      <c r="A39" s="9">
        <f>' مصوب'!K10/1000000</f>
        <v>31672.946329999999</v>
      </c>
      <c r="D39" s="9" t="s">
        <v>31</v>
      </c>
    </row>
    <row r="40" spans="1:4">
      <c r="A40" s="9" t="s">
        <v>34</v>
      </c>
    </row>
    <row r="41" spans="1:4">
      <c r="A41" s="9">
        <f>((' مصوب'!N6+' مصوب'!O6+' مصوب'!P6)/1000000)+1</f>
        <v>790.99</v>
      </c>
      <c r="D41" s="9" t="s">
        <v>29</v>
      </c>
    </row>
    <row r="42" spans="1:4">
      <c r="A42" s="9">
        <f>(' مصوب'!N14+' مصوب'!O14+' مصوب'!P14)/1000000</f>
        <v>0</v>
      </c>
      <c r="D42" s="9" t="s">
        <v>30</v>
      </c>
    </row>
    <row r="43" spans="1:4">
      <c r="A43" s="9">
        <f>(' مصوب'!N10+' مصوب'!O10+' مصوب'!P10)/1000000</f>
        <v>551.6</v>
      </c>
      <c r="D43" s="9" t="s">
        <v>31</v>
      </c>
    </row>
    <row r="44" spans="1:4">
      <c r="A44" s="12" t="s">
        <v>861</v>
      </c>
      <c r="D44" s="9"/>
    </row>
    <row r="45" spans="1:4">
      <c r="A45" s="9">
        <v>11707</v>
      </c>
      <c r="D45" s="9" t="s">
        <v>29</v>
      </c>
    </row>
    <row r="46" spans="1:4">
      <c r="A46" s="9">
        <f>(' مصوب'!L14+' مصوب'!M14)/1000000</f>
        <v>0</v>
      </c>
      <c r="D46" s="9" t="s">
        <v>30</v>
      </c>
    </row>
    <row r="47" spans="1:4">
      <c r="A47" s="9">
        <f>(' مصوب'!L10+' مصوب'!M10)/1000000</f>
        <v>178.89182400000001</v>
      </c>
      <c r="D47" s="9" t="s">
        <v>31</v>
      </c>
    </row>
    <row r="48" spans="1:4">
      <c r="A48" s="9" t="s">
        <v>33</v>
      </c>
    </row>
    <row r="49" spans="1:4">
      <c r="A49" s="9">
        <f>' مصوب'!R6/1000000</f>
        <v>35399.141737999998</v>
      </c>
      <c r="D49" s="9" t="s">
        <v>29</v>
      </c>
    </row>
    <row r="50" spans="1:4">
      <c r="A50" s="9">
        <f>(' مصوب'!R14+' مصوب'!S14)/1000000</f>
        <v>2850</v>
      </c>
      <c r="D50" s="9" t="s">
        <v>30</v>
      </c>
    </row>
    <row r="51" spans="1:4">
      <c r="A51" s="9">
        <f>(' مصوب'!R10+' مصوب'!S10)/1000000</f>
        <v>13816.381842999999</v>
      </c>
      <c r="D51" s="9" t="s">
        <v>31</v>
      </c>
    </row>
  </sheetData>
  <mergeCells count="1">
    <mergeCell ref="E28:F28"/>
  </mergeCells>
  <printOptions horizontalCentered="1" verticalCentered="1"/>
  <pageMargins left="0.15748031496062992" right="0.15748031496062992" top="0.31496062992125984" bottom="0.27559055118110237" header="0.31496062992125984" footer="0.31496062992125984"/>
  <pageSetup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U32"/>
  <sheetViews>
    <sheetView rightToLeft="1" view="pageBreakPreview" zoomScale="70" zoomScaleNormal="85" zoomScaleSheetLayoutView="70" zoomScalePageLayoutView="55" workbookViewId="0">
      <selection activeCell="I16" sqref="I16"/>
    </sheetView>
  </sheetViews>
  <sheetFormatPr defaultColWidth="10.28515625" defaultRowHeight="15"/>
  <cols>
    <col min="1" max="1" width="17.5703125" style="31" customWidth="1"/>
    <col min="2" max="2" width="31.5703125" style="31" bestFit="1" customWidth="1"/>
    <col min="3" max="3" width="17" style="31" bestFit="1" customWidth="1"/>
    <col min="4" max="4" width="14.42578125" style="31" bestFit="1" customWidth="1"/>
    <col min="5" max="5" width="7.42578125" style="31" hidden="1" customWidth="1"/>
    <col min="6" max="6" width="19" style="31" hidden="1" customWidth="1"/>
    <col min="7" max="7" width="15.140625" style="31" customWidth="1"/>
    <col min="8" max="8" width="19.28515625" style="31" bestFit="1" customWidth="1"/>
    <col min="9" max="9" width="16.42578125" style="31" bestFit="1" customWidth="1"/>
    <col min="10" max="10" width="17.140625" style="31" hidden="1" customWidth="1"/>
    <col min="11" max="12" width="14.42578125" style="31" hidden="1" customWidth="1"/>
    <col min="13" max="13" width="16.42578125" style="31" bestFit="1" customWidth="1"/>
    <col min="14" max="14" width="17.85546875" style="31" hidden="1" customWidth="1"/>
    <col min="15" max="15" width="17.5703125" style="31" hidden="1" customWidth="1"/>
    <col min="16" max="16" width="15.7109375" style="32" hidden="1" customWidth="1"/>
    <col min="17" max="17" width="16.140625" style="32" hidden="1" customWidth="1"/>
    <col min="18" max="18" width="0.85546875" style="32" hidden="1" customWidth="1"/>
    <col min="19" max="19" width="16.28515625" style="29" bestFit="1" customWidth="1"/>
    <col min="20" max="20" width="14.28515625" style="29" hidden="1" customWidth="1"/>
    <col min="21" max="21" width="14.28515625" style="29" bestFit="1" customWidth="1"/>
    <col min="22" max="16384" width="10.28515625" style="29"/>
  </cols>
  <sheetData>
    <row r="2" spans="1:21" s="148" customFormat="1" ht="36">
      <c r="A2" s="893" t="s">
        <v>708</v>
      </c>
      <c r="B2" s="893"/>
      <c r="C2" s="893"/>
      <c r="D2" s="893"/>
      <c r="E2" s="893"/>
      <c r="F2" s="893"/>
      <c r="G2" s="893"/>
      <c r="H2" s="893"/>
      <c r="I2" s="893"/>
      <c r="J2" s="893"/>
      <c r="K2" s="893"/>
      <c r="L2" s="893"/>
      <c r="M2" s="893"/>
      <c r="N2" s="893"/>
      <c r="O2" s="893"/>
      <c r="P2" s="893"/>
      <c r="Q2" s="893"/>
      <c r="R2" s="893"/>
      <c r="S2" s="893"/>
    </row>
    <row r="3" spans="1:21" s="148" customFormat="1" ht="36">
      <c r="A3" s="184" t="s">
        <v>129</v>
      </c>
      <c r="B3" s="185"/>
      <c r="C3" s="185"/>
      <c r="E3" s="187"/>
      <c r="F3" s="187"/>
      <c r="H3" s="188"/>
      <c r="I3" s="189"/>
      <c r="J3" s="189"/>
      <c r="K3" s="189"/>
      <c r="L3" s="189"/>
      <c r="M3" s="189"/>
      <c r="N3" s="189"/>
      <c r="O3" s="189"/>
      <c r="P3" s="186"/>
      <c r="Q3" s="186"/>
      <c r="R3" s="186"/>
    </row>
    <row r="4" spans="1:21" s="190" customFormat="1" ht="41.25" customHeight="1">
      <c r="A4" s="272" t="s">
        <v>0</v>
      </c>
      <c r="B4" s="892" t="s">
        <v>2</v>
      </c>
      <c r="C4" s="866" t="s">
        <v>821</v>
      </c>
      <c r="D4" s="866"/>
      <c r="E4" s="870" t="s">
        <v>132</v>
      </c>
      <c r="F4" s="870" t="s">
        <v>624</v>
      </c>
      <c r="G4" s="272" t="s">
        <v>112</v>
      </c>
      <c r="H4" s="894" t="s">
        <v>504</v>
      </c>
      <c r="I4" s="866" t="s">
        <v>9</v>
      </c>
      <c r="J4" s="866"/>
      <c r="K4" s="866"/>
      <c r="L4" s="866"/>
      <c r="M4" s="272" t="s">
        <v>8</v>
      </c>
      <c r="N4" s="866" t="s">
        <v>130</v>
      </c>
      <c r="O4" s="866"/>
      <c r="P4" s="890" t="s">
        <v>131</v>
      </c>
      <c r="Q4" s="890"/>
      <c r="R4" s="890" t="s">
        <v>133</v>
      </c>
      <c r="S4" s="866" t="s">
        <v>56</v>
      </c>
      <c r="T4" s="866"/>
    </row>
    <row r="5" spans="1:21" s="190" customFormat="1" ht="25.5" customHeight="1">
      <c r="A5" s="866" t="s">
        <v>1</v>
      </c>
      <c r="B5" s="892"/>
      <c r="C5" s="866" t="s">
        <v>587</v>
      </c>
      <c r="D5" s="890" t="s">
        <v>623</v>
      </c>
      <c r="E5" s="871"/>
      <c r="F5" s="871"/>
      <c r="G5" s="895" t="s">
        <v>34</v>
      </c>
      <c r="H5" s="894"/>
      <c r="I5" s="896" t="s">
        <v>5</v>
      </c>
      <c r="J5" s="870" t="s">
        <v>134</v>
      </c>
      <c r="K5" s="870" t="s">
        <v>6</v>
      </c>
      <c r="L5" s="892" t="s">
        <v>135</v>
      </c>
      <c r="M5" s="866" t="s">
        <v>9</v>
      </c>
      <c r="N5" s="890" t="s">
        <v>136</v>
      </c>
      <c r="O5" s="890" t="s">
        <v>137</v>
      </c>
      <c r="P5" s="890" t="s">
        <v>136</v>
      </c>
      <c r="Q5" s="890" t="s">
        <v>137</v>
      </c>
      <c r="R5" s="890"/>
      <c r="S5" s="866" t="s">
        <v>587</v>
      </c>
      <c r="T5" s="866" t="s">
        <v>623</v>
      </c>
    </row>
    <row r="6" spans="1:21" s="190" customFormat="1" ht="21" customHeight="1">
      <c r="A6" s="866"/>
      <c r="B6" s="892"/>
      <c r="C6" s="866"/>
      <c r="D6" s="890"/>
      <c r="E6" s="872"/>
      <c r="F6" s="872"/>
      <c r="G6" s="895"/>
      <c r="H6" s="894"/>
      <c r="I6" s="896"/>
      <c r="J6" s="872"/>
      <c r="K6" s="872"/>
      <c r="L6" s="892"/>
      <c r="M6" s="866"/>
      <c r="N6" s="890"/>
      <c r="O6" s="890"/>
      <c r="P6" s="890"/>
      <c r="Q6" s="890"/>
      <c r="R6" s="890"/>
      <c r="S6" s="866"/>
      <c r="T6" s="866"/>
    </row>
    <row r="7" spans="1:21" s="343" customFormat="1" ht="21">
      <c r="A7" s="891" t="s">
        <v>138</v>
      </c>
      <c r="B7" s="891"/>
      <c r="C7" s="191">
        <f t="shared" ref="C7:T7" si="0">SUM(C8:C8)</f>
        <v>8951991964</v>
      </c>
      <c r="D7" s="191">
        <f t="shared" si="0"/>
        <v>0</v>
      </c>
      <c r="E7" s="191">
        <f t="shared" si="0"/>
        <v>0</v>
      </c>
      <c r="F7" s="191">
        <f t="shared" si="0"/>
        <v>0</v>
      </c>
      <c r="G7" s="191">
        <f t="shared" si="0"/>
        <v>464760000</v>
      </c>
      <c r="H7" s="191">
        <f t="shared" si="0"/>
        <v>9416751964</v>
      </c>
      <c r="I7" s="191">
        <f t="shared" si="0"/>
        <v>9416751964</v>
      </c>
      <c r="J7" s="191">
        <f t="shared" si="0"/>
        <v>0</v>
      </c>
      <c r="K7" s="191">
        <f t="shared" si="0"/>
        <v>0</v>
      </c>
      <c r="L7" s="191">
        <f t="shared" si="0"/>
        <v>0</v>
      </c>
      <c r="M7" s="191">
        <f t="shared" si="0"/>
        <v>9416751964</v>
      </c>
      <c r="N7" s="191">
        <f t="shared" si="0"/>
        <v>0</v>
      </c>
      <c r="O7" s="191">
        <f t="shared" si="0"/>
        <v>0</v>
      </c>
      <c r="P7" s="191">
        <f t="shared" si="0"/>
        <v>0</v>
      </c>
      <c r="Q7" s="191">
        <f t="shared" si="0"/>
        <v>0</v>
      </c>
      <c r="R7" s="191">
        <f t="shared" si="0"/>
        <v>0</v>
      </c>
      <c r="S7" s="191">
        <f t="shared" si="0"/>
        <v>0</v>
      </c>
      <c r="T7" s="191">
        <f t="shared" si="0"/>
        <v>0</v>
      </c>
    </row>
    <row r="8" spans="1:21" s="534" customFormat="1" ht="21">
      <c r="A8" s="144">
        <v>185012000</v>
      </c>
      <c r="B8" s="144" t="s">
        <v>568</v>
      </c>
      <c r="C8" s="531">
        <v>8951991964</v>
      </c>
      <c r="D8" s="531"/>
      <c r="E8" s="531"/>
      <c r="F8" s="531">
        <v>0</v>
      </c>
      <c r="G8" s="531">
        <v>464760000</v>
      </c>
      <c r="H8" s="532">
        <f>SUM(C8:G8)</f>
        <v>9416751964</v>
      </c>
      <c r="I8" s="531">
        <f>456446563+336365000+8701440401-77500000</f>
        <v>9416751964</v>
      </c>
      <c r="J8" s="531"/>
      <c r="K8" s="531"/>
      <c r="L8" s="531"/>
      <c r="M8" s="531">
        <f>SUM(I8:L8)</f>
        <v>9416751964</v>
      </c>
      <c r="N8" s="533"/>
      <c r="O8" s="533"/>
      <c r="P8" s="533"/>
      <c r="Q8" s="533"/>
      <c r="R8" s="533"/>
      <c r="S8" s="533">
        <f>H8-M8+O8-Q8</f>
        <v>0</v>
      </c>
      <c r="T8" s="533">
        <v>0</v>
      </c>
    </row>
    <row r="9" spans="1:21" s="534" customFormat="1" ht="21">
      <c r="A9" s="881" t="s">
        <v>140</v>
      </c>
      <c r="B9" s="881"/>
      <c r="C9" s="536">
        <f>SUM(C10:C16)</f>
        <v>9183908310</v>
      </c>
      <c r="D9" s="536">
        <f>SUM(D13:D16)</f>
        <v>0</v>
      </c>
      <c r="E9" s="536">
        <f>SUM(E10:E16)</f>
        <v>0</v>
      </c>
      <c r="F9" s="536">
        <f>SUM(F10:F16)</f>
        <v>0</v>
      </c>
      <c r="G9" s="536"/>
      <c r="H9" s="536">
        <f t="shared" ref="H9:T9" si="1">SUM(H10:H16)</f>
        <v>9183908310</v>
      </c>
      <c r="I9" s="536">
        <f t="shared" si="1"/>
        <v>6639043542</v>
      </c>
      <c r="J9" s="536">
        <f t="shared" si="1"/>
        <v>0</v>
      </c>
      <c r="K9" s="536">
        <f t="shared" si="1"/>
        <v>0</v>
      </c>
      <c r="L9" s="536">
        <f t="shared" si="1"/>
        <v>0</v>
      </c>
      <c r="M9" s="536">
        <f t="shared" si="1"/>
        <v>6639043542</v>
      </c>
      <c r="N9" s="536">
        <f t="shared" si="1"/>
        <v>0</v>
      </c>
      <c r="O9" s="536">
        <f t="shared" si="1"/>
        <v>0</v>
      </c>
      <c r="P9" s="536">
        <f t="shared" si="1"/>
        <v>0</v>
      </c>
      <c r="Q9" s="536">
        <f t="shared" si="1"/>
        <v>0</v>
      </c>
      <c r="R9" s="536">
        <f t="shared" si="1"/>
        <v>0</v>
      </c>
      <c r="S9" s="536">
        <f t="shared" si="1"/>
        <v>2544864768</v>
      </c>
      <c r="T9" s="536">
        <f t="shared" si="1"/>
        <v>0</v>
      </c>
      <c r="U9" s="537"/>
    </row>
    <row r="10" spans="1:21" s="534" customFormat="1" ht="21">
      <c r="A10" s="519">
        <v>1805005000</v>
      </c>
      <c r="B10" s="530" t="s">
        <v>791</v>
      </c>
      <c r="C10" s="531">
        <v>884579912</v>
      </c>
      <c r="D10" s="531">
        <v>0</v>
      </c>
      <c r="E10" s="531">
        <v>0</v>
      </c>
      <c r="F10" s="531">
        <v>0</v>
      </c>
      <c r="G10" s="531">
        <v>0</v>
      </c>
      <c r="H10" s="532">
        <f t="shared" ref="H10:H16" si="2">SUM(C10:G10)</f>
        <v>884579912</v>
      </c>
      <c r="I10" s="531">
        <v>381440000</v>
      </c>
      <c r="J10" s="505"/>
      <c r="K10" s="531">
        <v>0</v>
      </c>
      <c r="L10" s="531">
        <v>0</v>
      </c>
      <c r="M10" s="531">
        <f>SUM(I10:L10)</f>
        <v>381440000</v>
      </c>
      <c r="N10" s="533"/>
      <c r="O10" s="533"/>
      <c r="P10" s="533"/>
      <c r="Q10" s="533"/>
      <c r="R10" s="533"/>
      <c r="S10" s="533">
        <f>H10-M10+O10-Q10</f>
        <v>503139912</v>
      </c>
      <c r="T10" s="533">
        <v>0</v>
      </c>
    </row>
    <row r="11" spans="1:21" s="534" customFormat="1" ht="21">
      <c r="A11" s="699">
        <v>1805016000</v>
      </c>
      <c r="B11" s="530" t="s">
        <v>792</v>
      </c>
      <c r="C11" s="528">
        <v>556500000</v>
      </c>
      <c r="D11" s="531">
        <v>0</v>
      </c>
      <c r="E11" s="531">
        <v>0</v>
      </c>
      <c r="F11" s="531">
        <v>0</v>
      </c>
      <c r="G11" s="531">
        <v>0</v>
      </c>
      <c r="H11" s="532">
        <f t="shared" si="2"/>
        <v>556500000</v>
      </c>
      <c r="I11" s="531">
        <v>135792000</v>
      </c>
      <c r="J11" s="505"/>
      <c r="K11" s="531">
        <v>0</v>
      </c>
      <c r="L11" s="531">
        <v>0</v>
      </c>
      <c r="M11" s="531">
        <f t="shared" ref="M11:M16" si="3">SUM(I11:L11)</f>
        <v>135792000</v>
      </c>
      <c r="N11" s="533"/>
      <c r="O11" s="533"/>
      <c r="P11" s="533"/>
      <c r="Q11" s="533"/>
      <c r="R11" s="533"/>
      <c r="S11" s="533">
        <f t="shared" ref="S11:S16" si="4">H11-M11+O11-Q11</f>
        <v>420708000</v>
      </c>
      <c r="T11" s="533">
        <v>0</v>
      </c>
    </row>
    <row r="12" spans="1:21" s="534" customFormat="1" ht="21">
      <c r="A12" s="699">
        <v>1805005000</v>
      </c>
      <c r="B12" s="530" t="s">
        <v>956</v>
      </c>
      <c r="C12" s="528">
        <v>600000000</v>
      </c>
      <c r="D12" s="531">
        <v>0</v>
      </c>
      <c r="E12" s="531">
        <v>0</v>
      </c>
      <c r="F12" s="531">
        <v>0</v>
      </c>
      <c r="G12" s="531">
        <v>0</v>
      </c>
      <c r="H12" s="532">
        <f t="shared" si="2"/>
        <v>600000000</v>
      </c>
      <c r="I12" s="531">
        <v>594623985</v>
      </c>
      <c r="J12" s="505"/>
      <c r="K12" s="531">
        <v>0</v>
      </c>
      <c r="L12" s="531">
        <v>0</v>
      </c>
      <c r="M12" s="531">
        <f t="shared" si="3"/>
        <v>594623985</v>
      </c>
      <c r="N12" s="533"/>
      <c r="O12" s="533"/>
      <c r="P12" s="533"/>
      <c r="Q12" s="533"/>
      <c r="R12" s="533"/>
      <c r="S12" s="533">
        <f t="shared" si="4"/>
        <v>5376015</v>
      </c>
      <c r="T12" s="533">
        <v>0</v>
      </c>
    </row>
    <row r="13" spans="1:21" s="534" customFormat="1" ht="21">
      <c r="A13" s="519">
        <v>1805021000</v>
      </c>
      <c r="B13" s="520" t="s">
        <v>147</v>
      </c>
      <c r="C13" s="531">
        <f>600000000+32865960</f>
        <v>632865960</v>
      </c>
      <c r="D13" s="531">
        <v>0</v>
      </c>
      <c r="E13" s="531">
        <v>0</v>
      </c>
      <c r="F13" s="531">
        <v>0</v>
      </c>
      <c r="G13" s="531">
        <v>0</v>
      </c>
      <c r="H13" s="532">
        <f t="shared" si="2"/>
        <v>632865960</v>
      </c>
      <c r="I13" s="531">
        <v>600000000</v>
      </c>
      <c r="J13" s="531"/>
      <c r="K13" s="531">
        <v>0</v>
      </c>
      <c r="L13" s="531">
        <v>0</v>
      </c>
      <c r="M13" s="531">
        <f t="shared" si="3"/>
        <v>600000000</v>
      </c>
      <c r="N13" s="533"/>
      <c r="O13" s="533"/>
      <c r="P13" s="533"/>
      <c r="Q13" s="533"/>
      <c r="R13" s="533"/>
      <c r="S13" s="533">
        <f t="shared" si="4"/>
        <v>32865960</v>
      </c>
      <c r="T13" s="533">
        <v>0</v>
      </c>
    </row>
    <row r="14" spans="1:21" s="534" customFormat="1" ht="21">
      <c r="A14" s="699">
        <v>1805013000</v>
      </c>
      <c r="B14" s="520" t="s">
        <v>793</v>
      </c>
      <c r="C14" s="531">
        <v>4765000000</v>
      </c>
      <c r="D14" s="531">
        <v>0</v>
      </c>
      <c r="E14" s="531">
        <v>0</v>
      </c>
      <c r="F14" s="531">
        <v>0</v>
      </c>
      <c r="G14" s="531">
        <v>0</v>
      </c>
      <c r="H14" s="532">
        <f t="shared" si="2"/>
        <v>4765000000</v>
      </c>
      <c r="I14" s="531">
        <v>4036885922</v>
      </c>
      <c r="J14" s="531"/>
      <c r="K14" s="531">
        <v>0</v>
      </c>
      <c r="L14" s="531">
        <v>0</v>
      </c>
      <c r="M14" s="531">
        <f t="shared" si="3"/>
        <v>4036885922</v>
      </c>
      <c r="N14" s="533"/>
      <c r="O14" s="533"/>
      <c r="P14" s="533"/>
      <c r="Q14" s="533"/>
      <c r="R14" s="533"/>
      <c r="S14" s="533">
        <f t="shared" si="4"/>
        <v>728114078</v>
      </c>
      <c r="T14" s="533">
        <v>0</v>
      </c>
    </row>
    <row r="15" spans="1:21" s="534" customFormat="1" ht="21">
      <c r="A15" s="699">
        <v>1805016000</v>
      </c>
      <c r="B15" s="523" t="s">
        <v>706</v>
      </c>
      <c r="C15" s="531">
        <v>300000000</v>
      </c>
      <c r="D15" s="531">
        <v>0</v>
      </c>
      <c r="E15" s="531">
        <v>0</v>
      </c>
      <c r="F15" s="531">
        <v>0</v>
      </c>
      <c r="G15" s="531">
        <v>0</v>
      </c>
      <c r="H15" s="532">
        <f t="shared" si="2"/>
        <v>300000000</v>
      </c>
      <c r="I15" s="531">
        <v>300000000</v>
      </c>
      <c r="J15" s="531"/>
      <c r="K15" s="531">
        <v>0</v>
      </c>
      <c r="L15" s="531">
        <v>0</v>
      </c>
      <c r="M15" s="531">
        <f t="shared" si="3"/>
        <v>300000000</v>
      </c>
      <c r="N15" s="533"/>
      <c r="O15" s="533"/>
      <c r="P15" s="533"/>
      <c r="Q15" s="533"/>
      <c r="R15" s="533"/>
      <c r="S15" s="533">
        <f t="shared" si="4"/>
        <v>0</v>
      </c>
      <c r="T15" s="533">
        <v>0</v>
      </c>
    </row>
    <row r="16" spans="1:21" s="534" customFormat="1" ht="21">
      <c r="A16" s="505">
        <v>1805016000</v>
      </c>
      <c r="B16" s="535" t="s">
        <v>146</v>
      </c>
      <c r="C16" s="531">
        <f>1234962438+210000000</f>
        <v>1444962438</v>
      </c>
      <c r="D16" s="531">
        <v>0</v>
      </c>
      <c r="E16" s="531">
        <v>0</v>
      </c>
      <c r="F16" s="531">
        <v>0</v>
      </c>
      <c r="G16" s="531">
        <v>0</v>
      </c>
      <c r="H16" s="532">
        <f t="shared" si="2"/>
        <v>1444962438</v>
      </c>
      <c r="I16" s="531">
        <f>740301635+150000000-300000000</f>
        <v>590301635</v>
      </c>
      <c r="J16" s="531"/>
      <c r="K16" s="531">
        <v>0</v>
      </c>
      <c r="L16" s="531">
        <v>0</v>
      </c>
      <c r="M16" s="531">
        <f t="shared" si="3"/>
        <v>590301635</v>
      </c>
      <c r="N16" s="533"/>
      <c r="O16" s="533"/>
      <c r="P16" s="533"/>
      <c r="Q16" s="533"/>
      <c r="R16" s="533"/>
      <c r="S16" s="533">
        <f t="shared" si="4"/>
        <v>854660803</v>
      </c>
      <c r="T16" s="533">
        <v>0</v>
      </c>
    </row>
    <row r="17" spans="1:20" s="534" customFormat="1" ht="21">
      <c r="A17" s="881" t="s">
        <v>141</v>
      </c>
      <c r="B17" s="881"/>
      <c r="C17" s="536">
        <f t="shared" ref="C17:T17" si="5">SUM(C18:C18)</f>
        <v>4690149047.0400009</v>
      </c>
      <c r="D17" s="536">
        <f t="shared" si="5"/>
        <v>0</v>
      </c>
      <c r="E17" s="538">
        <f t="shared" si="5"/>
        <v>0</v>
      </c>
      <c r="F17" s="538">
        <f t="shared" si="5"/>
        <v>0</v>
      </c>
      <c r="G17" s="536">
        <f t="shared" si="5"/>
        <v>0</v>
      </c>
      <c r="H17" s="536">
        <f t="shared" si="5"/>
        <v>4690149047.0400009</v>
      </c>
      <c r="I17" s="536">
        <f t="shared" si="5"/>
        <v>4690149047</v>
      </c>
      <c r="J17" s="536">
        <f t="shared" si="5"/>
        <v>0</v>
      </c>
      <c r="K17" s="536">
        <f t="shared" si="5"/>
        <v>0</v>
      </c>
      <c r="L17" s="536">
        <f t="shared" si="5"/>
        <v>0</v>
      </c>
      <c r="M17" s="536">
        <f t="shared" si="5"/>
        <v>4690149047</v>
      </c>
      <c r="N17" s="536">
        <f t="shared" si="5"/>
        <v>0</v>
      </c>
      <c r="O17" s="536">
        <f t="shared" si="5"/>
        <v>0</v>
      </c>
      <c r="P17" s="538">
        <f t="shared" si="5"/>
        <v>0</v>
      </c>
      <c r="Q17" s="536">
        <f t="shared" si="5"/>
        <v>0</v>
      </c>
      <c r="R17" s="536">
        <f t="shared" si="5"/>
        <v>0</v>
      </c>
      <c r="S17" s="536">
        <f t="shared" si="5"/>
        <v>4.000091552734375E-2</v>
      </c>
      <c r="T17" s="536">
        <f t="shared" si="5"/>
        <v>0</v>
      </c>
    </row>
    <row r="18" spans="1:20" s="534" customFormat="1" ht="21">
      <c r="A18" s="192">
        <v>1804011000</v>
      </c>
      <c r="B18" s="145" t="s">
        <v>122</v>
      </c>
      <c r="C18" s="513">
        <v>4690149047.0400009</v>
      </c>
      <c r="D18" s="531">
        <v>0</v>
      </c>
      <c r="E18" s="532"/>
      <c r="F18" s="539">
        <v>0</v>
      </c>
      <c r="G18" s="513">
        <v>0</v>
      </c>
      <c r="H18" s="532">
        <f>SUM(C18:G18)</f>
        <v>4690149047.0400009</v>
      </c>
      <c r="I18" s="513">
        <f>4723149047-33000000</f>
        <v>4690149047</v>
      </c>
      <c r="J18" s="540"/>
      <c r="K18" s="531">
        <v>0</v>
      </c>
      <c r="L18" s="531">
        <v>0</v>
      </c>
      <c r="M18" s="531">
        <f>SUM(I18:L18)</f>
        <v>4690149047</v>
      </c>
      <c r="N18" s="533"/>
      <c r="O18" s="533"/>
      <c r="P18" s="533"/>
      <c r="Q18" s="533"/>
      <c r="R18" s="533"/>
      <c r="S18" s="533">
        <f>H18-M18+O18-Q18</f>
        <v>4.000091552734375E-2</v>
      </c>
      <c r="T18" s="533">
        <v>0</v>
      </c>
    </row>
    <row r="19" spans="1:20" s="534" customFormat="1" ht="21">
      <c r="A19" s="891" t="s">
        <v>777</v>
      </c>
      <c r="B19" s="891"/>
      <c r="C19" s="536">
        <f>SUM(C20:C23)</f>
        <v>450000000</v>
      </c>
      <c r="D19" s="536">
        <f>SUM(D20:D23)</f>
        <v>5030000000</v>
      </c>
      <c r="E19" s="536">
        <f t="shared" ref="E19:T19" si="6">SUM(E20:E23)</f>
        <v>0</v>
      </c>
      <c r="F19" s="536">
        <f t="shared" si="6"/>
        <v>0</v>
      </c>
      <c r="G19" s="536">
        <f t="shared" si="6"/>
        <v>0</v>
      </c>
      <c r="H19" s="536">
        <f t="shared" si="6"/>
        <v>5480000000</v>
      </c>
      <c r="I19" s="536">
        <f t="shared" si="6"/>
        <v>5480000000</v>
      </c>
      <c r="J19" s="536">
        <f t="shared" si="6"/>
        <v>0</v>
      </c>
      <c r="K19" s="536">
        <f t="shared" si="6"/>
        <v>0</v>
      </c>
      <c r="L19" s="536">
        <f t="shared" si="6"/>
        <v>0</v>
      </c>
      <c r="M19" s="536">
        <f t="shared" si="6"/>
        <v>5480000000</v>
      </c>
      <c r="N19" s="536">
        <f t="shared" si="6"/>
        <v>0</v>
      </c>
      <c r="O19" s="536">
        <f t="shared" si="6"/>
        <v>0</v>
      </c>
      <c r="P19" s="536">
        <f t="shared" si="6"/>
        <v>0</v>
      </c>
      <c r="Q19" s="536">
        <f t="shared" si="6"/>
        <v>0</v>
      </c>
      <c r="R19" s="536">
        <f t="shared" si="6"/>
        <v>0</v>
      </c>
      <c r="S19" s="536">
        <f t="shared" si="6"/>
        <v>0</v>
      </c>
      <c r="T19" s="536">
        <f t="shared" si="6"/>
        <v>0</v>
      </c>
    </row>
    <row r="20" spans="1:20" s="534" customFormat="1" ht="21">
      <c r="A20" s="144">
        <v>10521030</v>
      </c>
      <c r="B20" s="145" t="s">
        <v>796</v>
      </c>
      <c r="C20" s="541">
        <v>450000000</v>
      </c>
      <c r="D20" s="531">
        <v>0</v>
      </c>
      <c r="E20" s="539"/>
      <c r="F20" s="531">
        <v>0</v>
      </c>
      <c r="G20" s="531">
        <v>0</v>
      </c>
      <c r="H20" s="532">
        <f>SUM(C20:G20)</f>
        <v>450000000</v>
      </c>
      <c r="I20" s="541">
        <v>450000000</v>
      </c>
      <c r="J20" s="540"/>
      <c r="K20" s="531">
        <v>0</v>
      </c>
      <c r="L20" s="531">
        <v>0</v>
      </c>
      <c r="M20" s="531">
        <f>SUM(I20:L20)</f>
        <v>450000000</v>
      </c>
      <c r="N20" s="533"/>
      <c r="O20" s="533"/>
      <c r="P20" s="533"/>
      <c r="Q20" s="533"/>
      <c r="R20" s="533"/>
      <c r="S20" s="533">
        <f>H20-M20+O20-Q20</f>
        <v>0</v>
      </c>
      <c r="T20" s="542">
        <v>0</v>
      </c>
    </row>
    <row r="21" spans="1:20" s="534" customFormat="1" ht="21">
      <c r="A21" s="144" t="s">
        <v>950</v>
      </c>
      <c r="B21" s="145" t="s">
        <v>799</v>
      </c>
      <c r="C21" s="541">
        <v>0</v>
      </c>
      <c r="D21" s="541">
        <v>4000000000</v>
      </c>
      <c r="E21" s="539"/>
      <c r="F21" s="531">
        <v>0</v>
      </c>
      <c r="G21" s="531">
        <v>0</v>
      </c>
      <c r="H21" s="532">
        <f>SUM(C21:G21)</f>
        <v>4000000000</v>
      </c>
      <c r="I21" s="541">
        <v>4000000000</v>
      </c>
      <c r="J21" s="540"/>
      <c r="K21" s="531">
        <v>0</v>
      </c>
      <c r="L21" s="531">
        <v>0</v>
      </c>
      <c r="M21" s="531">
        <f>SUM(I21:L21)</f>
        <v>4000000000</v>
      </c>
      <c r="N21" s="533"/>
      <c r="O21" s="533"/>
      <c r="P21" s="533"/>
      <c r="Q21" s="533"/>
      <c r="R21" s="533"/>
      <c r="S21" s="533">
        <f>H21-M21+O21-Q21</f>
        <v>0</v>
      </c>
      <c r="T21" s="542">
        <v>0</v>
      </c>
    </row>
    <row r="22" spans="1:20" s="534" customFormat="1" ht="21">
      <c r="A22" s="144">
        <v>1804014009</v>
      </c>
      <c r="B22" s="529" t="s">
        <v>797</v>
      </c>
      <c r="C22" s="541">
        <v>0</v>
      </c>
      <c r="D22" s="541">
        <v>440000000</v>
      </c>
      <c r="E22" s="539"/>
      <c r="F22" s="531">
        <v>0</v>
      </c>
      <c r="G22" s="531">
        <v>0</v>
      </c>
      <c r="H22" s="532">
        <f>SUM(C22:G22)</f>
        <v>440000000</v>
      </c>
      <c r="I22" s="541">
        <v>440000000</v>
      </c>
      <c r="J22" s="540"/>
      <c r="K22" s="531">
        <v>0</v>
      </c>
      <c r="L22" s="531">
        <v>0</v>
      </c>
      <c r="M22" s="531">
        <f>SUM(I22:L22)</f>
        <v>440000000</v>
      </c>
      <c r="N22" s="533"/>
      <c r="O22" s="533"/>
      <c r="P22" s="533"/>
      <c r="Q22" s="533"/>
      <c r="R22" s="533"/>
      <c r="S22" s="533">
        <f>H22-M22+O22-Q22</f>
        <v>0</v>
      </c>
      <c r="T22" s="542">
        <v>0</v>
      </c>
    </row>
    <row r="23" spans="1:20" s="534" customFormat="1" ht="21">
      <c r="A23" s="144">
        <v>1804014009</v>
      </c>
      <c r="B23" s="529" t="s">
        <v>798</v>
      </c>
      <c r="C23" s="541">
        <v>0</v>
      </c>
      <c r="D23" s="541">
        <v>590000000</v>
      </c>
      <c r="E23" s="539"/>
      <c r="F23" s="531">
        <v>0</v>
      </c>
      <c r="G23" s="531">
        <v>0</v>
      </c>
      <c r="H23" s="532">
        <f>SUM(C23:G23)</f>
        <v>590000000</v>
      </c>
      <c r="I23" s="541">
        <v>590000000</v>
      </c>
      <c r="J23" s="540"/>
      <c r="K23" s="531">
        <v>0</v>
      </c>
      <c r="L23" s="531">
        <v>0</v>
      </c>
      <c r="M23" s="531">
        <f>SUM(I23:L23)</f>
        <v>590000000</v>
      </c>
      <c r="N23" s="533"/>
      <c r="O23" s="533"/>
      <c r="P23" s="533"/>
      <c r="Q23" s="533"/>
      <c r="R23" s="533"/>
      <c r="S23" s="533">
        <f>H23-M23+O23-Q23</f>
        <v>0</v>
      </c>
      <c r="T23" s="542">
        <v>0</v>
      </c>
    </row>
    <row r="24" spans="1:20" s="534" customFormat="1" ht="21">
      <c r="A24" s="891" t="s">
        <v>578</v>
      </c>
      <c r="B24" s="891"/>
      <c r="C24" s="536">
        <f t="shared" ref="C24:T24" si="7">SUM(C25:C27)</f>
        <v>1001116623</v>
      </c>
      <c r="D24" s="536">
        <f t="shared" si="7"/>
        <v>7000000000</v>
      </c>
      <c r="E24" s="536">
        <f t="shared" si="7"/>
        <v>0</v>
      </c>
      <c r="F24" s="536">
        <f t="shared" si="7"/>
        <v>0</v>
      </c>
      <c r="G24" s="536">
        <f t="shared" si="7"/>
        <v>0</v>
      </c>
      <c r="H24" s="536">
        <f t="shared" si="7"/>
        <v>8001116623</v>
      </c>
      <c r="I24" s="536">
        <f t="shared" si="7"/>
        <v>8001116623</v>
      </c>
      <c r="J24" s="536">
        <f t="shared" si="7"/>
        <v>0</v>
      </c>
      <c r="K24" s="536">
        <f t="shared" si="7"/>
        <v>0</v>
      </c>
      <c r="L24" s="536">
        <f t="shared" si="7"/>
        <v>0</v>
      </c>
      <c r="M24" s="536">
        <f t="shared" si="7"/>
        <v>8001116623</v>
      </c>
      <c r="N24" s="536">
        <f t="shared" si="7"/>
        <v>0</v>
      </c>
      <c r="O24" s="536">
        <f t="shared" si="7"/>
        <v>0</v>
      </c>
      <c r="P24" s="536">
        <f t="shared" si="7"/>
        <v>0</v>
      </c>
      <c r="Q24" s="536">
        <f t="shared" si="7"/>
        <v>0</v>
      </c>
      <c r="R24" s="536">
        <f t="shared" si="7"/>
        <v>0</v>
      </c>
      <c r="S24" s="536">
        <f t="shared" si="7"/>
        <v>0</v>
      </c>
      <c r="T24" s="536">
        <f t="shared" si="7"/>
        <v>0</v>
      </c>
    </row>
    <row r="25" spans="1:20" s="534" customFormat="1" ht="21">
      <c r="A25" s="144">
        <v>1804011054</v>
      </c>
      <c r="B25" s="145" t="s">
        <v>148</v>
      </c>
      <c r="C25" s="531">
        <v>186959894</v>
      </c>
      <c r="D25" s="531">
        <v>0</v>
      </c>
      <c r="E25" s="531"/>
      <c r="F25" s="531">
        <v>0</v>
      </c>
      <c r="G25" s="531">
        <v>0</v>
      </c>
      <c r="H25" s="532">
        <f>SUM(C25:G25)</f>
        <v>186959894</v>
      </c>
      <c r="I25" s="531">
        <v>186959894</v>
      </c>
      <c r="J25" s="533"/>
      <c r="K25" s="531">
        <v>0</v>
      </c>
      <c r="L25" s="531">
        <v>0</v>
      </c>
      <c r="M25" s="531">
        <f>SUM(I25:L25)</f>
        <v>186959894</v>
      </c>
      <c r="N25" s="533"/>
      <c r="O25" s="533"/>
      <c r="P25" s="533"/>
      <c r="Q25" s="533"/>
      <c r="R25" s="533"/>
      <c r="S25" s="533">
        <f>H25-M25+O25-Q25</f>
        <v>0</v>
      </c>
      <c r="T25" s="533">
        <v>0</v>
      </c>
    </row>
    <row r="26" spans="1:20" s="534" customFormat="1" ht="27" customHeight="1">
      <c r="A26" s="516">
        <v>1804014003</v>
      </c>
      <c r="B26" s="529" t="s">
        <v>794</v>
      </c>
      <c r="C26" s="531">
        <v>0</v>
      </c>
      <c r="D26" s="531">
        <v>7000000000</v>
      </c>
      <c r="E26" s="531"/>
      <c r="F26" s="531">
        <v>0</v>
      </c>
      <c r="G26" s="531">
        <v>0</v>
      </c>
      <c r="H26" s="532">
        <f>SUM(C26:G26)</f>
        <v>7000000000</v>
      </c>
      <c r="I26" s="531">
        <v>7000000000</v>
      </c>
      <c r="J26" s="531"/>
      <c r="K26" s="531">
        <v>0</v>
      </c>
      <c r="L26" s="531">
        <v>0</v>
      </c>
      <c r="M26" s="531">
        <f>SUM(I26:L26)</f>
        <v>7000000000</v>
      </c>
      <c r="N26" s="533"/>
      <c r="O26" s="533"/>
      <c r="P26" s="533"/>
      <c r="Q26" s="533"/>
      <c r="R26" s="533"/>
      <c r="S26" s="533">
        <v>0</v>
      </c>
      <c r="T26" s="533">
        <v>0</v>
      </c>
    </row>
    <row r="27" spans="1:20" s="534" customFormat="1" ht="21">
      <c r="A27" s="699">
        <v>1805005000</v>
      </c>
      <c r="B27" s="145" t="s">
        <v>570</v>
      </c>
      <c r="C27" s="531">
        <v>814156729</v>
      </c>
      <c r="D27" s="531">
        <v>0</v>
      </c>
      <c r="E27" s="531"/>
      <c r="F27" s="531">
        <v>0</v>
      </c>
      <c r="G27" s="531">
        <v>0</v>
      </c>
      <c r="H27" s="532">
        <f>SUM(C27:G27)</f>
        <v>814156729</v>
      </c>
      <c r="I27" s="531">
        <v>814156729</v>
      </c>
      <c r="J27" s="533"/>
      <c r="K27" s="531">
        <v>0</v>
      </c>
      <c r="L27" s="531">
        <v>0</v>
      </c>
      <c r="M27" s="531">
        <f>SUM(I27:L27)</f>
        <v>814156729</v>
      </c>
      <c r="N27" s="533"/>
      <c r="O27" s="533"/>
      <c r="P27" s="533"/>
      <c r="Q27" s="533"/>
      <c r="R27" s="533"/>
      <c r="S27" s="533">
        <f>H27-M27+O27-Q27</f>
        <v>0</v>
      </c>
      <c r="T27" s="533">
        <v>0</v>
      </c>
    </row>
    <row r="28" spans="1:20" s="534" customFormat="1" ht="21">
      <c r="A28" s="884" t="s">
        <v>142</v>
      </c>
      <c r="B28" s="884"/>
      <c r="C28" s="536">
        <f t="shared" ref="C28:T28" si="8">C24+C7+C9+C17+C19</f>
        <v>24277165944.040001</v>
      </c>
      <c r="D28" s="536">
        <f t="shared" si="8"/>
        <v>12030000000</v>
      </c>
      <c r="E28" s="536">
        <f t="shared" si="8"/>
        <v>0</v>
      </c>
      <c r="F28" s="536">
        <f t="shared" si="8"/>
        <v>0</v>
      </c>
      <c r="G28" s="536">
        <f t="shared" si="8"/>
        <v>464760000</v>
      </c>
      <c r="H28" s="536">
        <f t="shared" si="8"/>
        <v>36771925944.040001</v>
      </c>
      <c r="I28" s="536">
        <f t="shared" si="8"/>
        <v>34227061176</v>
      </c>
      <c r="J28" s="536">
        <f t="shared" si="8"/>
        <v>0</v>
      </c>
      <c r="K28" s="536">
        <f t="shared" si="8"/>
        <v>0</v>
      </c>
      <c r="L28" s="536">
        <f t="shared" si="8"/>
        <v>0</v>
      </c>
      <c r="M28" s="536">
        <f t="shared" si="8"/>
        <v>34227061176</v>
      </c>
      <c r="N28" s="536">
        <f t="shared" si="8"/>
        <v>0</v>
      </c>
      <c r="O28" s="536">
        <f t="shared" si="8"/>
        <v>0</v>
      </c>
      <c r="P28" s="536">
        <f t="shared" si="8"/>
        <v>0</v>
      </c>
      <c r="Q28" s="536">
        <f t="shared" si="8"/>
        <v>0</v>
      </c>
      <c r="R28" s="536">
        <f t="shared" si="8"/>
        <v>0</v>
      </c>
      <c r="S28" s="536">
        <f t="shared" si="8"/>
        <v>2544864768.0400009</v>
      </c>
      <c r="T28" s="536">
        <f t="shared" si="8"/>
        <v>0</v>
      </c>
    </row>
    <row r="29" spans="1:20" s="26" customFormat="1" ht="28.5">
      <c r="A29" s="889">
        <v>38</v>
      </c>
      <c r="B29" s="889"/>
      <c r="C29" s="889"/>
      <c r="D29" s="889"/>
      <c r="E29" s="889"/>
      <c r="F29" s="889"/>
      <c r="G29" s="889"/>
      <c r="H29" s="889"/>
      <c r="I29" s="889"/>
      <c r="J29" s="889"/>
      <c r="K29" s="889"/>
      <c r="L29" s="889"/>
      <c r="M29" s="889"/>
      <c r="N29" s="889"/>
      <c r="O29" s="889"/>
      <c r="P29" s="889"/>
      <c r="Q29" s="889"/>
      <c r="R29" s="889"/>
      <c r="S29" s="889"/>
    </row>
    <row r="30" spans="1:20" ht="33">
      <c r="A30" s="27"/>
      <c r="B30" s="27"/>
      <c r="C30" s="193"/>
      <c r="D30" s="27"/>
      <c r="E30" s="27"/>
      <c r="F30" s="27"/>
      <c r="G30" s="27"/>
      <c r="H30" s="27"/>
      <c r="I30" s="27"/>
      <c r="J30" s="27"/>
      <c r="K30" s="27"/>
      <c r="L30" s="27"/>
      <c r="M30" s="154"/>
      <c r="N30" s="27"/>
      <c r="O30" s="27"/>
      <c r="P30" s="28"/>
      <c r="Q30" s="28"/>
      <c r="R30" s="28"/>
    </row>
    <row r="31" spans="1:20" ht="33">
      <c r="A31" s="27"/>
      <c r="B31" s="27"/>
      <c r="C31" s="194"/>
      <c r="D31" s="27"/>
      <c r="E31" s="27"/>
      <c r="F31" s="27"/>
      <c r="G31" s="27"/>
      <c r="H31" s="30"/>
      <c r="I31" s="27"/>
      <c r="J31" s="27"/>
      <c r="K31" s="27"/>
      <c r="L31" s="27"/>
      <c r="M31" s="154"/>
      <c r="N31" s="27"/>
      <c r="O31" s="27"/>
      <c r="P31" s="28"/>
      <c r="Q31" s="28"/>
      <c r="R31" s="28"/>
    </row>
    <row r="32" spans="1:20" ht="33">
      <c r="A32" s="27"/>
      <c r="B32" s="27"/>
      <c r="C32" s="27"/>
      <c r="D32" s="27"/>
      <c r="E32" s="27"/>
      <c r="F32" s="27"/>
      <c r="G32" s="27"/>
      <c r="H32" s="30"/>
      <c r="I32" s="27"/>
      <c r="J32" s="27"/>
      <c r="K32" s="27"/>
      <c r="L32" s="27"/>
      <c r="M32" s="154"/>
      <c r="N32" s="27"/>
      <c r="O32" s="27"/>
      <c r="P32" s="28"/>
      <c r="Q32" s="28"/>
      <c r="R32" s="28"/>
    </row>
  </sheetData>
  <mergeCells count="33">
    <mergeCell ref="A2:S2"/>
    <mergeCell ref="F4:F6"/>
    <mergeCell ref="H4:H6"/>
    <mergeCell ref="I4:L4"/>
    <mergeCell ref="N4:O4"/>
    <mergeCell ref="P4:Q4"/>
    <mergeCell ref="R4:R6"/>
    <mergeCell ref="G5:G6"/>
    <mergeCell ref="Q5:Q6"/>
    <mergeCell ref="N5:N6"/>
    <mergeCell ref="B4:B6"/>
    <mergeCell ref="I5:I6"/>
    <mergeCell ref="C4:D4"/>
    <mergeCell ref="T5:T6"/>
    <mergeCell ref="S5:S6"/>
    <mergeCell ref="S4:T4"/>
    <mergeCell ref="K5:K6"/>
    <mergeCell ref="E4:E6"/>
    <mergeCell ref="A29:S29"/>
    <mergeCell ref="M5:M6"/>
    <mergeCell ref="P5:P6"/>
    <mergeCell ref="O5:O6"/>
    <mergeCell ref="J5:J6"/>
    <mergeCell ref="A28:B28"/>
    <mergeCell ref="A24:B24"/>
    <mergeCell ref="A17:B17"/>
    <mergeCell ref="A9:B9"/>
    <mergeCell ref="A7:B7"/>
    <mergeCell ref="A5:A6"/>
    <mergeCell ref="C5:C6"/>
    <mergeCell ref="D5:D6"/>
    <mergeCell ref="A19:B19"/>
    <mergeCell ref="L5:L6"/>
  </mergeCells>
  <printOptions horizontalCentered="1"/>
  <pageMargins left="0.15748031496062992" right="0.15748031496062992" top="0.23622047244094491" bottom="0.23622047244094491" header="0.15748031496062992" footer="0.19685039370078741"/>
  <pageSetup paperSize="9" scale="85" orientation="landscape" r:id="rId1"/>
  <headerFooter alignWithMargins="0">
    <oddFooter xml:space="preserve">&amp;C&amp;"B Titr,Bold"&amp;18 &amp;"B Nazanin,Regular"&amp;14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7:J51"/>
  <sheetViews>
    <sheetView rightToLeft="1" view="pageBreakPreview" topLeftCell="A13" zoomScaleSheetLayoutView="100" workbookViewId="0">
      <selection activeCell="D31" sqref="D31"/>
    </sheetView>
  </sheetViews>
  <sheetFormatPr defaultRowHeight="18"/>
  <cols>
    <col min="1" max="1" width="27.28515625" style="9" bestFit="1" customWidth="1"/>
    <col min="2" max="2" width="15.28515625" style="9" bestFit="1" customWidth="1"/>
    <col min="3" max="3" width="9.140625" style="9" customWidth="1"/>
    <col min="4" max="8" width="9.140625" style="10"/>
    <col min="9" max="9" width="21.7109375" style="10" customWidth="1"/>
    <col min="10" max="16384" width="9.140625" style="10"/>
  </cols>
  <sheetData>
    <row r="27" spans="1:10" ht="30" customHeight="1">
      <c r="E27" s="13"/>
    </row>
    <row r="28" spans="1:10" ht="26.25">
      <c r="A28" s="897"/>
      <c r="B28" s="897"/>
      <c r="C28" s="897"/>
      <c r="D28" s="897"/>
      <c r="E28" s="897"/>
      <c r="F28" s="897"/>
      <c r="G28" s="897"/>
      <c r="H28" s="897"/>
      <c r="I28" s="897"/>
      <c r="J28" s="897"/>
    </row>
    <row r="29" spans="1:10" ht="26.25">
      <c r="A29" s="897"/>
      <c r="B29" s="897"/>
      <c r="C29" s="897"/>
      <c r="D29" s="897"/>
      <c r="E29" s="897"/>
      <c r="F29" s="897"/>
      <c r="G29" s="897"/>
      <c r="H29" s="897"/>
      <c r="I29" s="897"/>
      <c r="J29" s="897"/>
    </row>
    <row r="30" spans="1:10" ht="24.75" customHeight="1">
      <c r="D30" s="670">
        <v>39</v>
      </c>
    </row>
    <row r="31" spans="1:10">
      <c r="C31" s="10"/>
    </row>
    <row r="33" spans="1:2">
      <c r="A33" s="9" t="s">
        <v>48</v>
      </c>
    </row>
    <row r="35" spans="1:2">
      <c r="A35" s="9">
        <f>'وجوه مصرف نشده'!H28/1000000</f>
        <v>36771.925944039998</v>
      </c>
      <c r="B35" s="9" t="s">
        <v>30</v>
      </c>
    </row>
    <row r="38" spans="1:2">
      <c r="A38" s="9" t="s">
        <v>32</v>
      </c>
    </row>
    <row r="40" spans="1:2">
      <c r="A40" s="9">
        <f>'وجوه مصرف نشده'!I28/1000000</f>
        <v>34227.061176000003</v>
      </c>
    </row>
    <row r="43" spans="1:2">
      <c r="A43" s="9" t="s">
        <v>34</v>
      </c>
    </row>
    <row r="45" spans="1:2">
      <c r="A45" s="9">
        <f>('وجوه مصرف نشده'!K28+'وجوه مصرف نشده'!L28)/1000000</f>
        <v>0</v>
      </c>
      <c r="B45" s="9" t="s">
        <v>30</v>
      </c>
    </row>
    <row r="48" spans="1:2">
      <c r="A48" s="9" t="s">
        <v>33</v>
      </c>
    </row>
    <row r="51" spans="1:2">
      <c r="A51" s="9">
        <f>'وجوه مصرف نشده'!S28/1000000</f>
        <v>2544.8647680400009</v>
      </c>
      <c r="B51" s="9" t="s">
        <v>56</v>
      </c>
    </row>
  </sheetData>
  <mergeCells count="2">
    <mergeCell ref="A28:J28"/>
    <mergeCell ref="A29:J29"/>
  </mergeCells>
  <printOptions horizontalCentered="1" verticalCentered="1"/>
  <pageMargins left="0.15748031496062992" right="0.15748031496062992" top="0.43307086614173229" bottom="0.31496062992125984" header="0.47244094488188981" footer="0.23622047244094491"/>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19"/>
  <sheetViews>
    <sheetView rightToLeft="1" view="pageBreakPreview" zoomScale="85" zoomScaleNormal="70" zoomScaleSheetLayoutView="85" workbookViewId="0">
      <selection activeCell="D15" sqref="D15"/>
    </sheetView>
  </sheetViews>
  <sheetFormatPr defaultColWidth="10.28515625" defaultRowHeight="12.75"/>
  <cols>
    <col min="1" max="1" width="14.7109375" style="97" customWidth="1"/>
    <col min="2" max="2" width="53.28515625" style="21" customWidth="1"/>
    <col min="3" max="3" width="15.140625" style="21" bestFit="1" customWidth="1"/>
    <col min="4" max="4" width="13.5703125" style="21" bestFit="1" customWidth="1"/>
    <col min="5" max="5" width="14.7109375" style="21" bestFit="1" customWidth="1"/>
    <col min="6" max="6" width="16" style="21" bestFit="1" customWidth="1"/>
    <col min="7" max="7" width="18.85546875" style="21" hidden="1" customWidth="1"/>
    <col min="8" max="8" width="15.42578125" style="21" hidden="1" customWidth="1"/>
    <col min="9" max="9" width="11.85546875" style="21" hidden="1" customWidth="1"/>
    <col min="10" max="10" width="16" style="21" bestFit="1" customWidth="1"/>
    <col min="11" max="11" width="15.7109375" style="21" bestFit="1" customWidth="1"/>
    <col min="12" max="12" width="13.28515625" style="21" bestFit="1" customWidth="1"/>
    <col min="13" max="16384" width="10.28515625" style="21"/>
  </cols>
  <sheetData>
    <row r="1" spans="1:12" s="148" customFormat="1" ht="32.25">
      <c r="A1" s="901" t="s">
        <v>709</v>
      </c>
      <c r="B1" s="901"/>
      <c r="C1" s="901"/>
      <c r="D1" s="901"/>
      <c r="E1" s="901"/>
      <c r="F1" s="901"/>
      <c r="G1" s="901"/>
      <c r="H1" s="901"/>
      <c r="I1" s="901"/>
      <c r="J1" s="901"/>
      <c r="K1" s="901"/>
    </row>
    <row r="2" spans="1:12" s="148" customFormat="1" ht="28.5">
      <c r="A2" s="902" t="s">
        <v>129</v>
      </c>
      <c r="B2" s="902"/>
      <c r="C2" s="902"/>
      <c r="D2" s="189"/>
      <c r="E2" s="344"/>
      <c r="F2" s="344"/>
      <c r="G2" s="344"/>
      <c r="H2" s="344"/>
      <c r="I2" s="344"/>
      <c r="J2" s="344"/>
      <c r="K2" s="344"/>
    </row>
    <row r="3" spans="1:12" s="150" customFormat="1" ht="25.5">
      <c r="A3" s="445" t="s">
        <v>0</v>
      </c>
      <c r="B3" s="880" t="s">
        <v>2</v>
      </c>
      <c r="C3" s="445" t="s">
        <v>10</v>
      </c>
      <c r="D3" s="903" t="s">
        <v>4</v>
      </c>
      <c r="E3" s="904"/>
      <c r="F3" s="880" t="s">
        <v>9</v>
      </c>
      <c r="G3" s="880"/>
      <c r="H3" s="880"/>
      <c r="I3" s="880"/>
      <c r="J3" s="445" t="s">
        <v>8</v>
      </c>
      <c r="K3" s="898" t="s">
        <v>143</v>
      </c>
      <c r="L3" s="898"/>
    </row>
    <row r="4" spans="1:12" s="150" customFormat="1" ht="25.5">
      <c r="A4" s="880" t="s">
        <v>1</v>
      </c>
      <c r="B4" s="880"/>
      <c r="C4" s="880" t="s">
        <v>3</v>
      </c>
      <c r="D4" s="905" t="s">
        <v>623</v>
      </c>
      <c r="E4" s="905" t="s">
        <v>587</v>
      </c>
      <c r="F4" s="880" t="s">
        <v>5</v>
      </c>
      <c r="G4" s="885" t="s">
        <v>620</v>
      </c>
      <c r="H4" s="898" t="s">
        <v>6</v>
      </c>
      <c r="I4" s="898" t="s">
        <v>144</v>
      </c>
      <c r="J4" s="880" t="s">
        <v>9</v>
      </c>
      <c r="K4" s="898" t="s">
        <v>587</v>
      </c>
      <c r="L4" s="898" t="s">
        <v>623</v>
      </c>
    </row>
    <row r="5" spans="1:12" s="150" customFormat="1" ht="25.5">
      <c r="A5" s="880"/>
      <c r="B5" s="880"/>
      <c r="C5" s="880"/>
      <c r="D5" s="906"/>
      <c r="E5" s="906"/>
      <c r="F5" s="880"/>
      <c r="G5" s="885"/>
      <c r="H5" s="898"/>
      <c r="I5" s="898"/>
      <c r="J5" s="880"/>
      <c r="K5" s="898"/>
      <c r="L5" s="898"/>
    </row>
    <row r="6" spans="1:12" s="515" customFormat="1" ht="29.25">
      <c r="A6" s="880" t="s">
        <v>39</v>
      </c>
      <c r="B6" s="880"/>
      <c r="C6" s="147">
        <f>SUM(C7:C14)</f>
        <v>40314286000</v>
      </c>
      <c r="D6" s="147">
        <f t="shared" ref="D6:L6" si="0">SUM(D7:D14)</f>
        <v>0</v>
      </c>
      <c r="E6" s="147">
        <f t="shared" si="0"/>
        <v>40314286000</v>
      </c>
      <c r="F6" s="147">
        <f t="shared" si="0"/>
        <v>18172852695</v>
      </c>
      <c r="G6" s="147">
        <f t="shared" si="0"/>
        <v>0</v>
      </c>
      <c r="H6" s="147">
        <f t="shared" si="0"/>
        <v>0</v>
      </c>
      <c r="I6" s="147">
        <f t="shared" si="0"/>
        <v>0</v>
      </c>
      <c r="J6" s="147">
        <f t="shared" si="0"/>
        <v>18172852695</v>
      </c>
      <c r="K6" s="147">
        <f t="shared" si="0"/>
        <v>22141433305</v>
      </c>
      <c r="L6" s="147">
        <f t="shared" si="0"/>
        <v>0</v>
      </c>
    </row>
    <row r="7" spans="1:12" s="515" customFormat="1" ht="29.25">
      <c r="A7" s="519">
        <v>1903023000</v>
      </c>
      <c r="B7" s="520" t="s">
        <v>782</v>
      </c>
      <c r="C7" s="507">
        <v>5164286000</v>
      </c>
      <c r="D7" s="507">
        <v>0</v>
      </c>
      <c r="E7" s="507">
        <f>C7</f>
        <v>5164286000</v>
      </c>
      <c r="F7" s="507">
        <v>5164286000</v>
      </c>
      <c r="G7" s="507">
        <v>0</v>
      </c>
      <c r="H7" s="507">
        <v>0</v>
      </c>
      <c r="I7" s="507">
        <v>0</v>
      </c>
      <c r="J7" s="507">
        <f t="shared" ref="J7:J14" si="1">SUM(F7:I7)</f>
        <v>5164286000</v>
      </c>
      <c r="K7" s="507">
        <f t="shared" ref="K7:K18" si="2">E7-J7</f>
        <v>0</v>
      </c>
      <c r="L7" s="507">
        <v>0</v>
      </c>
    </row>
    <row r="8" spans="1:12" s="515" customFormat="1" ht="29.25">
      <c r="A8" s="519">
        <v>1805005000</v>
      </c>
      <c r="B8" s="520" t="s">
        <v>783</v>
      </c>
      <c r="C8" s="507">
        <v>600000000</v>
      </c>
      <c r="D8" s="507">
        <v>0</v>
      </c>
      <c r="E8" s="507">
        <f t="shared" ref="E8:E14" si="3">C8</f>
        <v>600000000</v>
      </c>
      <c r="F8" s="507">
        <v>307656000</v>
      </c>
      <c r="G8" s="507">
        <v>0</v>
      </c>
      <c r="H8" s="507">
        <v>0</v>
      </c>
      <c r="I8" s="507">
        <v>0</v>
      </c>
      <c r="J8" s="507">
        <f t="shared" si="1"/>
        <v>307656000</v>
      </c>
      <c r="K8" s="507">
        <f t="shared" si="2"/>
        <v>292344000</v>
      </c>
      <c r="L8" s="507">
        <v>0</v>
      </c>
    </row>
    <row r="9" spans="1:12" s="515" customFormat="1" ht="29.25">
      <c r="A9" s="516">
        <v>1805005000</v>
      </c>
      <c r="B9" s="521" t="s">
        <v>784</v>
      </c>
      <c r="C9" s="507">
        <v>600000000</v>
      </c>
      <c r="D9" s="507">
        <v>0</v>
      </c>
      <c r="E9" s="507">
        <f t="shared" si="3"/>
        <v>600000000</v>
      </c>
      <c r="F9" s="507">
        <v>546322262</v>
      </c>
      <c r="G9" s="507">
        <v>0</v>
      </c>
      <c r="H9" s="507">
        <v>0</v>
      </c>
      <c r="I9" s="507">
        <v>0</v>
      </c>
      <c r="J9" s="507">
        <f t="shared" si="1"/>
        <v>546322262</v>
      </c>
      <c r="K9" s="507">
        <f t="shared" si="2"/>
        <v>53677738</v>
      </c>
      <c r="L9" s="507">
        <v>0</v>
      </c>
    </row>
    <row r="10" spans="1:12" s="515" customFormat="1" ht="29.25">
      <c r="A10" s="516">
        <v>1805021000</v>
      </c>
      <c r="B10" s="521" t="s">
        <v>785</v>
      </c>
      <c r="C10" s="507">
        <v>9000000000</v>
      </c>
      <c r="D10" s="507">
        <v>0</v>
      </c>
      <c r="E10" s="507">
        <f t="shared" si="3"/>
        <v>9000000000</v>
      </c>
      <c r="F10" s="507">
        <v>9000000000</v>
      </c>
      <c r="G10" s="507">
        <v>0</v>
      </c>
      <c r="H10" s="507">
        <v>0</v>
      </c>
      <c r="I10" s="507">
        <v>0</v>
      </c>
      <c r="J10" s="507">
        <f t="shared" si="1"/>
        <v>9000000000</v>
      </c>
      <c r="K10" s="507">
        <f t="shared" si="2"/>
        <v>0</v>
      </c>
      <c r="L10" s="507">
        <v>0</v>
      </c>
    </row>
    <row r="11" spans="1:12" s="515" customFormat="1" ht="29.25">
      <c r="A11" s="516">
        <v>1805013000</v>
      </c>
      <c r="B11" s="521" t="s">
        <v>786</v>
      </c>
      <c r="C11" s="507">
        <v>9250000000</v>
      </c>
      <c r="D11" s="507">
        <v>0</v>
      </c>
      <c r="E11" s="507">
        <f t="shared" si="3"/>
        <v>9250000000</v>
      </c>
      <c r="F11" s="507">
        <v>218550580</v>
      </c>
      <c r="G11" s="507">
        <v>0</v>
      </c>
      <c r="H11" s="507">
        <v>0</v>
      </c>
      <c r="I11" s="507">
        <v>0</v>
      </c>
      <c r="J11" s="507">
        <f t="shared" si="1"/>
        <v>218550580</v>
      </c>
      <c r="K11" s="507">
        <f t="shared" si="2"/>
        <v>9031449420</v>
      </c>
      <c r="L11" s="507">
        <v>0</v>
      </c>
    </row>
    <row r="12" spans="1:12" s="515" customFormat="1" ht="29.25">
      <c r="A12" s="516">
        <v>1805005000</v>
      </c>
      <c r="B12" s="521" t="s">
        <v>787</v>
      </c>
      <c r="C12" s="507">
        <v>1200000000</v>
      </c>
      <c r="D12" s="507">
        <v>0</v>
      </c>
      <c r="E12" s="507">
        <f t="shared" si="3"/>
        <v>1200000000</v>
      </c>
      <c r="F12" s="507">
        <v>200000000</v>
      </c>
      <c r="G12" s="507">
        <v>0</v>
      </c>
      <c r="H12" s="507">
        <v>0</v>
      </c>
      <c r="I12" s="507">
        <v>0</v>
      </c>
      <c r="J12" s="507">
        <f t="shared" si="1"/>
        <v>200000000</v>
      </c>
      <c r="K12" s="507">
        <f t="shared" si="2"/>
        <v>1000000000</v>
      </c>
      <c r="L12" s="507">
        <v>0</v>
      </c>
    </row>
    <row r="13" spans="1:12" s="515" customFormat="1" ht="29.25">
      <c r="A13" s="516">
        <v>1805016000</v>
      </c>
      <c r="B13" s="522" t="s">
        <v>788</v>
      </c>
      <c r="C13" s="507">
        <v>12000000000</v>
      </c>
      <c r="D13" s="507">
        <v>0</v>
      </c>
      <c r="E13" s="507">
        <f t="shared" si="3"/>
        <v>12000000000</v>
      </c>
      <c r="F13" s="507">
        <v>2736037853</v>
      </c>
      <c r="G13" s="507">
        <v>0</v>
      </c>
      <c r="H13" s="507">
        <v>0</v>
      </c>
      <c r="I13" s="507">
        <v>0</v>
      </c>
      <c r="J13" s="507">
        <f t="shared" si="1"/>
        <v>2736037853</v>
      </c>
      <c r="K13" s="507">
        <f t="shared" si="2"/>
        <v>9263962147</v>
      </c>
      <c r="L13" s="507">
        <v>0</v>
      </c>
    </row>
    <row r="14" spans="1:12" s="515" customFormat="1" ht="29.25">
      <c r="A14" s="516">
        <v>11350050</v>
      </c>
      <c r="B14" s="516" t="s">
        <v>789</v>
      </c>
      <c r="C14" s="507">
        <v>2500000000</v>
      </c>
      <c r="D14" s="507">
        <v>0</v>
      </c>
      <c r="E14" s="507">
        <f t="shared" si="3"/>
        <v>2500000000</v>
      </c>
      <c r="F14" s="507">
        <v>0</v>
      </c>
      <c r="G14" s="507">
        <v>0</v>
      </c>
      <c r="H14" s="507">
        <v>0</v>
      </c>
      <c r="I14" s="507">
        <v>0</v>
      </c>
      <c r="J14" s="507">
        <f t="shared" si="1"/>
        <v>0</v>
      </c>
      <c r="K14" s="507">
        <f t="shared" si="2"/>
        <v>2500000000</v>
      </c>
      <c r="L14" s="507">
        <v>0</v>
      </c>
    </row>
    <row r="15" spans="1:12" s="515" customFormat="1" ht="29.25">
      <c r="A15" s="899" t="s">
        <v>487</v>
      </c>
      <c r="B15" s="899"/>
      <c r="C15" s="147">
        <f t="shared" ref="C15:L15" si="4">SUM(C16:C18)</f>
        <v>12600000000</v>
      </c>
      <c r="D15" s="147">
        <f>SUM(D16:D18)</f>
        <v>12250000000</v>
      </c>
      <c r="E15" s="147">
        <f t="shared" si="4"/>
        <v>350000000</v>
      </c>
      <c r="F15" s="147">
        <f t="shared" si="4"/>
        <v>0</v>
      </c>
      <c r="G15" s="147">
        <f t="shared" si="4"/>
        <v>0</v>
      </c>
      <c r="H15" s="147">
        <f t="shared" si="4"/>
        <v>0</v>
      </c>
      <c r="I15" s="147">
        <f t="shared" si="4"/>
        <v>0</v>
      </c>
      <c r="J15" s="147">
        <f t="shared" si="4"/>
        <v>0</v>
      </c>
      <c r="K15" s="147">
        <f t="shared" si="4"/>
        <v>350000000</v>
      </c>
      <c r="L15" s="147">
        <f t="shared" si="4"/>
        <v>12250000000</v>
      </c>
    </row>
    <row r="16" spans="1:12" s="515" customFormat="1" ht="29.25">
      <c r="A16" s="192">
        <v>1804011054</v>
      </c>
      <c r="B16" s="518" t="s">
        <v>780</v>
      </c>
      <c r="C16" s="507">
        <v>9000000000</v>
      </c>
      <c r="D16" s="507">
        <v>9000000000</v>
      </c>
      <c r="E16" s="507">
        <v>0</v>
      </c>
      <c r="F16" s="507">
        <v>0</v>
      </c>
      <c r="G16" s="507">
        <v>0</v>
      </c>
      <c r="H16" s="507">
        <v>0</v>
      </c>
      <c r="I16" s="507">
        <v>0</v>
      </c>
      <c r="J16" s="507">
        <f>SUM(F16:I16)</f>
        <v>0</v>
      </c>
      <c r="K16" s="507">
        <v>0</v>
      </c>
      <c r="L16" s="507">
        <v>9000000000</v>
      </c>
    </row>
    <row r="17" spans="1:12" s="515" customFormat="1" ht="29.25">
      <c r="A17" s="192">
        <v>1804014001</v>
      </c>
      <c r="B17" s="192" t="s">
        <v>781</v>
      </c>
      <c r="C17" s="507">
        <v>600000000</v>
      </c>
      <c r="D17" s="507">
        <v>250000000</v>
      </c>
      <c r="E17" s="507">
        <v>350000000</v>
      </c>
      <c r="F17" s="507">
        <v>0</v>
      </c>
      <c r="G17" s="507">
        <v>0</v>
      </c>
      <c r="H17" s="507">
        <v>0</v>
      </c>
      <c r="I17" s="507">
        <v>0</v>
      </c>
      <c r="J17" s="507">
        <f>SUM(F17:I17)</f>
        <v>0</v>
      </c>
      <c r="K17" s="507">
        <v>350000000</v>
      </c>
      <c r="L17" s="507">
        <v>250000000</v>
      </c>
    </row>
    <row r="18" spans="1:12" s="515" customFormat="1" ht="29.25">
      <c r="A18" s="516">
        <v>1804014003</v>
      </c>
      <c r="B18" s="517" t="s">
        <v>779</v>
      </c>
      <c r="C18" s="507">
        <v>3000000000</v>
      </c>
      <c r="D18" s="507">
        <f>C18</f>
        <v>3000000000</v>
      </c>
      <c r="E18" s="507">
        <v>0</v>
      </c>
      <c r="F18" s="507">
        <v>0</v>
      </c>
      <c r="G18" s="507">
        <v>0</v>
      </c>
      <c r="H18" s="507">
        <v>0</v>
      </c>
      <c r="I18" s="507">
        <v>0</v>
      </c>
      <c r="J18" s="507">
        <f>SUM(F18:I18)</f>
        <v>0</v>
      </c>
      <c r="K18" s="507">
        <f t="shared" si="2"/>
        <v>0</v>
      </c>
      <c r="L18" s="507">
        <f>C18-J18</f>
        <v>3000000000</v>
      </c>
    </row>
    <row r="19" spans="1:12" s="515" customFormat="1" ht="29.25">
      <c r="A19" s="900" t="s">
        <v>142</v>
      </c>
      <c r="B19" s="900"/>
      <c r="C19" s="147">
        <f t="shared" ref="C19:L19" si="5">C15+C6</f>
        <v>52914286000</v>
      </c>
      <c r="D19" s="147">
        <f t="shared" si="5"/>
        <v>12250000000</v>
      </c>
      <c r="E19" s="147">
        <f t="shared" si="5"/>
        <v>40664286000</v>
      </c>
      <c r="F19" s="147">
        <f t="shared" si="5"/>
        <v>18172852695</v>
      </c>
      <c r="G19" s="147">
        <f t="shared" si="5"/>
        <v>0</v>
      </c>
      <c r="H19" s="147">
        <f t="shared" si="5"/>
        <v>0</v>
      </c>
      <c r="I19" s="147">
        <f t="shared" si="5"/>
        <v>0</v>
      </c>
      <c r="J19" s="147">
        <f t="shared" si="5"/>
        <v>18172852695</v>
      </c>
      <c r="K19" s="147">
        <f t="shared" si="5"/>
        <v>22491433305</v>
      </c>
      <c r="L19" s="147">
        <f t="shared" si="5"/>
        <v>12250000000</v>
      </c>
    </row>
  </sheetData>
  <mergeCells count="20">
    <mergeCell ref="A19:B19"/>
    <mergeCell ref="A1:K1"/>
    <mergeCell ref="A2:C2"/>
    <mergeCell ref="B3:B5"/>
    <mergeCell ref="F3:I3"/>
    <mergeCell ref="A4:A5"/>
    <mergeCell ref="C4:C5"/>
    <mergeCell ref="F4:F5"/>
    <mergeCell ref="H4:H5"/>
    <mergeCell ref="I4:I5"/>
    <mergeCell ref="J4:J5"/>
    <mergeCell ref="G4:G5"/>
    <mergeCell ref="D3:E3"/>
    <mergeCell ref="D4:D5"/>
    <mergeCell ref="E4:E5"/>
    <mergeCell ref="K3:L3"/>
    <mergeCell ref="K4:K5"/>
    <mergeCell ref="L4:L5"/>
    <mergeCell ref="A6:B6"/>
    <mergeCell ref="A15:B15"/>
  </mergeCells>
  <printOptions horizontalCentered="1"/>
  <pageMargins left="0.23622047244094491" right="0.19685039370078741" top="0.35433070866141736" bottom="0.43307086614173229" header="0.59055118110236227" footer="0.19685039370078741"/>
  <pageSetup paperSize="9" scale="80" orientation="landscape" r:id="rId1"/>
  <headerFooter alignWithMargins="0">
    <oddFooter>&amp;C&amp;"B Titr,Bold"&amp;12 &amp;22 40</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rightToLeft="1" view="pageBreakPreview" topLeftCell="A4" zoomScale="80" zoomScaleNormal="100" zoomScaleSheetLayoutView="80" workbookViewId="0">
      <selection activeCell="E29" sqref="E29"/>
    </sheetView>
  </sheetViews>
  <sheetFormatPr defaultRowHeight="18"/>
  <cols>
    <col min="1" max="1" width="20.85546875" style="9" bestFit="1" customWidth="1"/>
    <col min="2" max="3" width="9.140625" style="9" customWidth="1"/>
    <col min="4" max="4" width="19" style="12" customWidth="1"/>
    <col min="5" max="10" width="9.140625" style="12"/>
    <col min="11" max="11" width="9.140625" style="12" customWidth="1"/>
    <col min="12" max="16384" width="9.140625" style="12"/>
  </cols>
  <sheetData>
    <row r="1" ht="8.25" customHeight="1"/>
    <row r="28" spans="1:6" ht="25.5">
      <c r="E28" s="907">
        <v>41</v>
      </c>
      <c r="F28" s="907"/>
    </row>
    <row r="32" spans="1:6">
      <c r="A32" s="9" t="s">
        <v>629</v>
      </c>
    </row>
    <row r="33" spans="1:4">
      <c r="A33" s="9">
        <f>ابلاغي!E6/1000000</f>
        <v>40314.286</v>
      </c>
      <c r="D33" s="9" t="s">
        <v>53</v>
      </c>
    </row>
    <row r="34" spans="1:4">
      <c r="A34" s="9">
        <f>ابلاغي!C15/1000000</f>
        <v>12600</v>
      </c>
      <c r="D34" s="9" t="s">
        <v>535</v>
      </c>
    </row>
    <row r="35" spans="1:4">
      <c r="A35" s="9">
        <v>0</v>
      </c>
      <c r="D35" s="9"/>
    </row>
    <row r="36" spans="1:4">
      <c r="A36" s="9" t="s">
        <v>32</v>
      </c>
    </row>
    <row r="37" spans="1:4">
      <c r="A37" s="9">
        <f>(ابلاغي!F6+ابلاغي!G6)/1000000</f>
        <v>18172.852695000001</v>
      </c>
      <c r="D37" s="9" t="s">
        <v>53</v>
      </c>
    </row>
    <row r="38" spans="1:4">
      <c r="A38" s="9">
        <f>ابلاغي!F15/1000000</f>
        <v>0</v>
      </c>
      <c r="D38" s="9" t="s">
        <v>535</v>
      </c>
    </row>
    <row r="39" spans="1:4">
      <c r="A39" s="9">
        <v>0</v>
      </c>
      <c r="D39" s="9"/>
    </row>
    <row r="40" spans="1:4">
      <c r="A40" s="9" t="s">
        <v>34</v>
      </c>
    </row>
    <row r="41" spans="1:4">
      <c r="A41" s="9">
        <v>0</v>
      </c>
      <c r="D41" s="9" t="s">
        <v>53</v>
      </c>
    </row>
    <row r="42" spans="1:4">
      <c r="A42" s="9">
        <v>0</v>
      </c>
      <c r="D42" s="9" t="s">
        <v>535</v>
      </c>
    </row>
    <row r="43" spans="1:4">
      <c r="A43" s="9">
        <v>0</v>
      </c>
      <c r="D43" s="9"/>
    </row>
    <row r="44" spans="1:4">
      <c r="A44" s="9" t="s">
        <v>33</v>
      </c>
    </row>
    <row r="45" spans="1:4">
      <c r="A45" s="9">
        <f>ابلاغي!K6/1000000</f>
        <v>22141.433304999999</v>
      </c>
      <c r="D45" s="9" t="s">
        <v>53</v>
      </c>
    </row>
    <row r="46" spans="1:4">
      <c r="A46" s="9">
        <f>(ابلاغي!K15+ابلاغي!L15)/1000000</f>
        <v>12600</v>
      </c>
      <c r="D46" s="9" t="s">
        <v>113</v>
      </c>
    </row>
    <row r="47" spans="1:4">
      <c r="A47" s="9">
        <f>A35-A39-A43</f>
        <v>0</v>
      </c>
      <c r="D47" s="9"/>
    </row>
  </sheetData>
  <mergeCells count="1">
    <mergeCell ref="E28:F28"/>
  </mergeCells>
  <printOptions horizontalCentered="1" verticalCentered="1"/>
  <pageMargins left="0.15748031496062992" right="0.15748031496062992" top="0.35433070866141736" bottom="0.35433070866141736" header="0.31496062992125984" footer="0.31496062992125984"/>
  <pageSetup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28"/>
  <sheetViews>
    <sheetView rightToLeft="1" tabSelected="1" view="pageBreakPreview" zoomScale="85" zoomScaleNormal="85" zoomScaleSheetLayoutView="85" workbookViewId="0">
      <selection activeCell="I16" sqref="I16"/>
    </sheetView>
  </sheetViews>
  <sheetFormatPr defaultColWidth="10.28515625" defaultRowHeight="15"/>
  <cols>
    <col min="1" max="1" width="6.28515625" style="83" bestFit="1" customWidth="1"/>
    <col min="2" max="2" width="23.42578125" style="83" bestFit="1" customWidth="1"/>
    <col min="3" max="3" width="26.85546875" style="83" customWidth="1"/>
    <col min="4" max="4" width="15.85546875" style="84" bestFit="1" customWidth="1"/>
    <col min="5" max="5" width="17.28515625" style="84" bestFit="1" customWidth="1"/>
    <col min="6" max="6" width="12.140625" style="84" hidden="1" customWidth="1"/>
    <col min="7" max="7" width="16.140625" style="83" bestFit="1" customWidth="1"/>
    <col min="8" max="8" width="15.42578125" style="83" bestFit="1" customWidth="1"/>
    <col min="9" max="9" width="9.5703125" style="83" hidden="1" customWidth="1"/>
    <col min="10" max="10" width="9.28515625" style="83" hidden="1" customWidth="1"/>
    <col min="11" max="11" width="16" style="83" bestFit="1" customWidth="1"/>
    <col min="12" max="12" width="17.28515625" style="83" bestFit="1" customWidth="1"/>
    <col min="13" max="16384" width="10.28515625" style="83"/>
  </cols>
  <sheetData>
    <row r="1" spans="1:12" s="345" customFormat="1" ht="36">
      <c r="A1" s="913" t="s">
        <v>962</v>
      </c>
      <c r="B1" s="913"/>
      <c r="C1" s="913"/>
      <c r="D1" s="913"/>
      <c r="E1" s="913"/>
      <c r="F1" s="913"/>
      <c r="G1" s="913"/>
      <c r="H1" s="913"/>
      <c r="I1" s="913"/>
      <c r="J1" s="913"/>
      <c r="K1" s="913"/>
      <c r="L1" s="913"/>
    </row>
    <row r="2" spans="1:12" s="345" customFormat="1">
      <c r="A2" s="914" t="s">
        <v>710</v>
      </c>
      <c r="B2" s="914"/>
      <c r="C2" s="914"/>
      <c r="D2" s="914"/>
      <c r="E2" s="914"/>
      <c r="F2" s="914"/>
      <c r="G2" s="914"/>
      <c r="H2" s="914"/>
      <c r="I2" s="914"/>
      <c r="J2" s="914"/>
      <c r="K2" s="914"/>
      <c r="L2" s="914"/>
    </row>
    <row r="3" spans="1:12" s="345" customFormat="1">
      <c r="A3" s="914"/>
      <c r="B3" s="914"/>
      <c r="C3" s="914"/>
      <c r="D3" s="914"/>
      <c r="E3" s="914"/>
      <c r="F3" s="914"/>
      <c r="G3" s="914"/>
      <c r="H3" s="914"/>
      <c r="I3" s="914"/>
      <c r="J3" s="914"/>
      <c r="K3" s="914"/>
      <c r="L3" s="914"/>
    </row>
    <row r="4" spans="1:12" s="345" customFormat="1" ht="32.25">
      <c r="A4" s="346"/>
      <c r="B4" s="346"/>
      <c r="C4" s="346"/>
      <c r="D4" s="346"/>
      <c r="E4" s="346"/>
      <c r="F4" s="346"/>
      <c r="G4" s="346"/>
      <c r="H4" s="346"/>
      <c r="I4" s="346"/>
      <c r="J4" s="346"/>
      <c r="K4" s="346"/>
      <c r="L4" s="346"/>
    </row>
    <row r="5" spans="1:12" s="347" customFormat="1" ht="25.5" customHeight="1">
      <c r="A5" s="911" t="s">
        <v>411</v>
      </c>
      <c r="B5" s="911" t="s">
        <v>412</v>
      </c>
      <c r="C5" s="909" t="s">
        <v>413</v>
      </c>
      <c r="D5" s="909" t="s">
        <v>414</v>
      </c>
      <c r="E5" s="909" t="s">
        <v>415</v>
      </c>
      <c r="F5" s="909" t="s">
        <v>416</v>
      </c>
      <c r="G5" s="911" t="s">
        <v>142</v>
      </c>
      <c r="H5" s="911" t="s">
        <v>417</v>
      </c>
      <c r="I5" s="911"/>
      <c r="J5" s="911"/>
      <c r="K5" s="912" t="s">
        <v>418</v>
      </c>
      <c r="L5" s="912" t="s">
        <v>419</v>
      </c>
    </row>
    <row r="6" spans="1:12" s="350" customFormat="1" ht="25.5">
      <c r="A6" s="911"/>
      <c r="B6" s="911"/>
      <c r="C6" s="910"/>
      <c r="D6" s="910"/>
      <c r="E6" s="910"/>
      <c r="F6" s="910"/>
      <c r="G6" s="911"/>
      <c r="H6" s="348" t="s">
        <v>420</v>
      </c>
      <c r="I6" s="349" t="s">
        <v>120</v>
      </c>
      <c r="J6" s="349" t="s">
        <v>144</v>
      </c>
      <c r="K6" s="912"/>
      <c r="L6" s="912"/>
    </row>
    <row r="7" spans="1:12" s="345" customFormat="1" ht="26.25" customHeight="1">
      <c r="A7" s="436">
        <v>2</v>
      </c>
      <c r="B7" s="700" t="s">
        <v>790</v>
      </c>
      <c r="C7" s="446" t="s">
        <v>800</v>
      </c>
      <c r="D7" s="435">
        <v>0</v>
      </c>
      <c r="E7" s="435">
        <v>8000000000</v>
      </c>
      <c r="F7" s="435"/>
      <c r="G7" s="524">
        <f t="shared" ref="G7:G17" si="0">D7+E7</f>
        <v>8000000000</v>
      </c>
      <c r="H7" s="701">
        <v>1360000000</v>
      </c>
      <c r="I7" s="435">
        <v>0</v>
      </c>
      <c r="J7" s="435">
        <v>0</v>
      </c>
      <c r="K7" s="544">
        <f t="shared" ref="K7:K17" si="1">SUM(H7:J7)</f>
        <v>1360000000</v>
      </c>
      <c r="L7" s="525">
        <f t="shared" ref="L7:L17" si="2">G7-K7</f>
        <v>6640000000</v>
      </c>
    </row>
    <row r="8" spans="1:12" s="345" customFormat="1" ht="26.25" customHeight="1">
      <c r="A8" s="436">
        <v>3</v>
      </c>
      <c r="B8" s="700" t="s">
        <v>802</v>
      </c>
      <c r="C8" s="446" t="s">
        <v>800</v>
      </c>
      <c r="D8" s="435">
        <v>0</v>
      </c>
      <c r="E8" s="435">
        <v>1000000000</v>
      </c>
      <c r="F8" s="435"/>
      <c r="G8" s="524">
        <f t="shared" si="0"/>
        <v>1000000000</v>
      </c>
      <c r="H8" s="701">
        <v>273201200</v>
      </c>
      <c r="I8" s="435">
        <v>0</v>
      </c>
      <c r="J8" s="435">
        <v>0</v>
      </c>
      <c r="K8" s="544">
        <f t="shared" si="1"/>
        <v>273201200</v>
      </c>
      <c r="L8" s="525">
        <f t="shared" si="2"/>
        <v>726798800</v>
      </c>
    </row>
    <row r="9" spans="1:12" s="345" customFormat="1" ht="26.25" customHeight="1">
      <c r="A9" s="436">
        <v>4</v>
      </c>
      <c r="B9" s="700" t="s">
        <v>810</v>
      </c>
      <c r="C9" s="446" t="s">
        <v>800</v>
      </c>
      <c r="D9" s="435">
        <v>0</v>
      </c>
      <c r="E9" s="435">
        <v>1200000000</v>
      </c>
      <c r="F9" s="435"/>
      <c r="G9" s="524">
        <f t="shared" si="0"/>
        <v>1200000000</v>
      </c>
      <c r="H9" s="701">
        <v>0</v>
      </c>
      <c r="I9" s="435">
        <v>0</v>
      </c>
      <c r="J9" s="435">
        <v>0</v>
      </c>
      <c r="K9" s="544">
        <f t="shared" si="1"/>
        <v>0</v>
      </c>
      <c r="L9" s="525">
        <f t="shared" si="2"/>
        <v>1200000000</v>
      </c>
    </row>
    <row r="10" spans="1:12" s="345" customFormat="1" ht="26.25" customHeight="1">
      <c r="A10" s="436">
        <v>5</v>
      </c>
      <c r="B10" s="700" t="s">
        <v>801</v>
      </c>
      <c r="C10" s="446" t="s">
        <v>800</v>
      </c>
      <c r="D10" s="435">
        <v>0</v>
      </c>
      <c r="E10" s="435">
        <v>15000000000</v>
      </c>
      <c r="F10" s="435"/>
      <c r="G10" s="543">
        <f t="shared" si="0"/>
        <v>15000000000</v>
      </c>
      <c r="H10" s="701">
        <v>300000000</v>
      </c>
      <c r="I10" s="435">
        <v>0</v>
      </c>
      <c r="J10" s="435">
        <v>0</v>
      </c>
      <c r="K10" s="544">
        <f t="shared" si="1"/>
        <v>300000000</v>
      </c>
      <c r="L10" s="525">
        <f t="shared" si="2"/>
        <v>14700000000</v>
      </c>
    </row>
    <row r="11" spans="1:12" s="345" customFormat="1" ht="26.25" customHeight="1">
      <c r="A11" s="436">
        <v>6</v>
      </c>
      <c r="B11" s="700" t="s">
        <v>853</v>
      </c>
      <c r="C11" s="446" t="s">
        <v>800</v>
      </c>
      <c r="D11" s="435">
        <v>0</v>
      </c>
      <c r="E11" s="435">
        <v>4500000000</v>
      </c>
      <c r="F11" s="435"/>
      <c r="G11" s="524">
        <f t="shared" si="0"/>
        <v>4500000000</v>
      </c>
      <c r="H11" s="701">
        <v>4500000000</v>
      </c>
      <c r="I11" s="435">
        <v>0</v>
      </c>
      <c r="J11" s="435">
        <v>0</v>
      </c>
      <c r="K11" s="544">
        <f t="shared" si="1"/>
        <v>4500000000</v>
      </c>
      <c r="L11" s="525">
        <f t="shared" si="2"/>
        <v>0</v>
      </c>
    </row>
    <row r="12" spans="1:12" s="345" customFormat="1" ht="29.25" customHeight="1">
      <c r="A12" s="436">
        <v>7</v>
      </c>
      <c r="B12" s="700" t="s">
        <v>602</v>
      </c>
      <c r="C12" s="446" t="s">
        <v>421</v>
      </c>
      <c r="D12" s="435">
        <v>0</v>
      </c>
      <c r="E12" s="526">
        <v>960000000</v>
      </c>
      <c r="F12" s="435"/>
      <c r="G12" s="524">
        <f t="shared" si="0"/>
        <v>960000000</v>
      </c>
      <c r="H12" s="435">
        <v>387285000</v>
      </c>
      <c r="I12" s="435">
        <v>0</v>
      </c>
      <c r="J12" s="435">
        <v>0</v>
      </c>
      <c r="K12" s="544">
        <f t="shared" si="1"/>
        <v>387285000</v>
      </c>
      <c r="L12" s="525">
        <f t="shared" si="2"/>
        <v>572715000</v>
      </c>
    </row>
    <row r="13" spans="1:12" s="345" customFormat="1" ht="26.25" customHeight="1">
      <c r="A13" s="436">
        <v>1</v>
      </c>
      <c r="B13" s="700" t="s">
        <v>422</v>
      </c>
      <c r="C13" s="446" t="s">
        <v>160</v>
      </c>
      <c r="D13" s="435">
        <v>93322476</v>
      </c>
      <c r="E13" s="435">
        <v>0</v>
      </c>
      <c r="F13" s="435"/>
      <c r="G13" s="524">
        <f t="shared" si="0"/>
        <v>93322476</v>
      </c>
      <c r="H13" s="702">
        <v>990000</v>
      </c>
      <c r="I13" s="435">
        <v>0</v>
      </c>
      <c r="J13" s="435">
        <v>0</v>
      </c>
      <c r="K13" s="544">
        <f t="shared" si="1"/>
        <v>990000</v>
      </c>
      <c r="L13" s="525">
        <f t="shared" si="2"/>
        <v>92332476</v>
      </c>
    </row>
    <row r="14" spans="1:12" s="345" customFormat="1" ht="26.25" customHeight="1">
      <c r="A14" s="436">
        <v>8</v>
      </c>
      <c r="B14" s="700" t="s">
        <v>423</v>
      </c>
      <c r="C14" s="446" t="s">
        <v>423</v>
      </c>
      <c r="D14" s="435">
        <v>13568029</v>
      </c>
      <c r="E14" s="435">
        <v>0</v>
      </c>
      <c r="F14" s="435"/>
      <c r="G14" s="524">
        <f t="shared" si="0"/>
        <v>13568029</v>
      </c>
      <c r="H14" s="435">
        <v>0</v>
      </c>
      <c r="I14" s="435">
        <v>0</v>
      </c>
      <c r="J14" s="435">
        <v>0</v>
      </c>
      <c r="K14" s="544">
        <f t="shared" si="1"/>
        <v>0</v>
      </c>
      <c r="L14" s="525">
        <f t="shared" si="2"/>
        <v>13568029</v>
      </c>
    </row>
    <row r="15" spans="1:12" s="345" customFormat="1" ht="26.25" customHeight="1">
      <c r="A15" s="436">
        <v>9</v>
      </c>
      <c r="B15" s="700" t="s">
        <v>427</v>
      </c>
      <c r="C15" s="446" t="s">
        <v>426</v>
      </c>
      <c r="D15" s="435">
        <v>88262806</v>
      </c>
      <c r="E15" s="435">
        <v>0</v>
      </c>
      <c r="F15" s="435"/>
      <c r="G15" s="524">
        <f t="shared" si="0"/>
        <v>88262806</v>
      </c>
      <c r="H15" s="702">
        <v>436536</v>
      </c>
      <c r="I15" s="435">
        <v>0</v>
      </c>
      <c r="J15" s="435">
        <v>0</v>
      </c>
      <c r="K15" s="544">
        <f t="shared" si="1"/>
        <v>436536</v>
      </c>
      <c r="L15" s="525">
        <f t="shared" si="2"/>
        <v>87826270</v>
      </c>
    </row>
    <row r="16" spans="1:12" s="345" customFormat="1" ht="26.25" customHeight="1">
      <c r="A16" s="436">
        <v>10</v>
      </c>
      <c r="B16" s="446" t="s">
        <v>161</v>
      </c>
      <c r="C16" s="446" t="s">
        <v>161</v>
      </c>
      <c r="D16" s="435">
        <v>192362000</v>
      </c>
      <c r="E16" s="435">
        <v>0</v>
      </c>
      <c r="F16" s="435"/>
      <c r="G16" s="524">
        <f t="shared" si="0"/>
        <v>192362000</v>
      </c>
      <c r="H16" s="702">
        <v>0</v>
      </c>
      <c r="I16" s="435">
        <v>0</v>
      </c>
      <c r="J16" s="435">
        <v>0</v>
      </c>
      <c r="K16" s="544">
        <f t="shared" si="1"/>
        <v>0</v>
      </c>
      <c r="L16" s="525">
        <f t="shared" si="2"/>
        <v>192362000</v>
      </c>
    </row>
    <row r="17" spans="1:12" s="345" customFormat="1" ht="26.25" customHeight="1">
      <c r="A17" s="436">
        <v>11</v>
      </c>
      <c r="B17" s="446" t="s">
        <v>579</v>
      </c>
      <c r="C17" s="446" t="s">
        <v>421</v>
      </c>
      <c r="D17" s="435">
        <v>667597248</v>
      </c>
      <c r="E17" s="435">
        <v>0</v>
      </c>
      <c r="F17" s="435"/>
      <c r="G17" s="524">
        <f t="shared" si="0"/>
        <v>667597248</v>
      </c>
      <c r="H17" s="527"/>
      <c r="I17" s="435">
        <v>0</v>
      </c>
      <c r="J17" s="435">
        <v>0</v>
      </c>
      <c r="K17" s="544">
        <f t="shared" si="1"/>
        <v>0</v>
      </c>
      <c r="L17" s="525">
        <f t="shared" si="2"/>
        <v>667597248</v>
      </c>
    </row>
    <row r="18" spans="1:12" s="345" customFormat="1" ht="39" customHeight="1">
      <c r="A18" s="908" t="s">
        <v>424</v>
      </c>
      <c r="B18" s="908"/>
      <c r="C18" s="908"/>
      <c r="D18" s="437">
        <f t="shared" ref="D18:L18" si="3">SUM(D7:D17)</f>
        <v>1055112559</v>
      </c>
      <c r="E18" s="437">
        <f t="shared" si="3"/>
        <v>30660000000</v>
      </c>
      <c r="F18" s="437">
        <f t="shared" si="3"/>
        <v>0</v>
      </c>
      <c r="G18" s="437">
        <f t="shared" si="3"/>
        <v>31715112559</v>
      </c>
      <c r="H18" s="437">
        <f t="shared" si="3"/>
        <v>6821912736</v>
      </c>
      <c r="I18" s="437">
        <f t="shared" si="3"/>
        <v>0</v>
      </c>
      <c r="J18" s="437">
        <f t="shared" si="3"/>
        <v>0</v>
      </c>
      <c r="K18" s="437">
        <f t="shared" si="3"/>
        <v>6821912736</v>
      </c>
      <c r="L18" s="437">
        <f t="shared" si="3"/>
        <v>24893199823</v>
      </c>
    </row>
    <row r="19" spans="1:12" s="82" customFormat="1" ht="39.75" customHeight="1">
      <c r="D19" s="275"/>
      <c r="E19" s="275"/>
      <c r="F19" s="275"/>
    </row>
    <row r="20" spans="1:12" ht="21" customHeight="1"/>
    <row r="21" spans="1:12" ht="34.5" customHeight="1"/>
    <row r="22" spans="1:12" ht="34.5" customHeight="1"/>
    <row r="23" spans="1:12" ht="21" customHeight="1"/>
    <row r="24" spans="1:12" ht="21" customHeight="1"/>
    <row r="25" spans="1:12" ht="21" customHeight="1"/>
    <row r="26" spans="1:12" ht="21" customHeight="1"/>
    <row r="27" spans="1:12" ht="38.25" customHeight="1"/>
    <row r="28" spans="1:12" ht="21" customHeight="1"/>
  </sheetData>
  <mergeCells count="13">
    <mergeCell ref="A1:L1"/>
    <mergeCell ref="A2:L3"/>
    <mergeCell ref="H5:J5"/>
    <mergeCell ref="L5:L6"/>
    <mergeCell ref="A5:A6"/>
    <mergeCell ref="B5:B6"/>
    <mergeCell ref="D5:D6"/>
    <mergeCell ref="E5:E6"/>
    <mergeCell ref="A18:C18"/>
    <mergeCell ref="C5:C6"/>
    <mergeCell ref="F5:F6"/>
    <mergeCell ref="G5:G6"/>
    <mergeCell ref="K5:K6"/>
  </mergeCells>
  <printOptions horizontalCentered="1"/>
  <pageMargins left="0" right="0" top="0.86614173228346458" bottom="0" header="0" footer="0.27559055118110237"/>
  <pageSetup paperSize="9" scale="95" firstPageNumber="24" orientation="landscape" useFirstPageNumber="1" r:id="rId1"/>
  <headerFooter alignWithMargins="0">
    <oddFooter>&amp;C&amp;"B Titr,Bold"&amp;12 &amp;20 42</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88"/>
  <sheetViews>
    <sheetView rightToLeft="1" workbookViewId="0">
      <selection activeCell="D83" sqref="D83"/>
    </sheetView>
  </sheetViews>
  <sheetFormatPr defaultRowHeight="24.75"/>
  <cols>
    <col min="1" max="1" width="3.28515625" style="39" bestFit="1" customWidth="1"/>
    <col min="2" max="2" width="5" style="39" bestFit="1" customWidth="1"/>
    <col min="3" max="3" width="29.7109375" style="73" bestFit="1" customWidth="1"/>
    <col min="4" max="4" width="19.85546875" style="39" bestFit="1" customWidth="1"/>
    <col min="5" max="5" width="32.28515625" style="75" bestFit="1" customWidth="1"/>
    <col min="6" max="6" width="7" style="39" bestFit="1" customWidth="1"/>
    <col min="7" max="7" width="9.140625" style="39"/>
    <col min="8" max="8" width="32.140625" style="61" bestFit="1" customWidth="1"/>
    <col min="9" max="9" width="20.5703125" style="62" bestFit="1" customWidth="1"/>
    <col min="10" max="16384" width="9.140625" style="39"/>
  </cols>
  <sheetData>
    <row r="1" spans="1:9">
      <c r="A1" s="42"/>
      <c r="B1" s="43" t="s">
        <v>270</v>
      </c>
      <c r="C1" s="44" t="s">
        <v>271</v>
      </c>
      <c r="D1" s="45" t="s">
        <v>272</v>
      </c>
      <c r="E1" s="46" t="s">
        <v>348</v>
      </c>
      <c r="H1" s="47" t="s">
        <v>349</v>
      </c>
      <c r="I1" s="48" t="s">
        <v>350</v>
      </c>
    </row>
    <row r="2" spans="1:9">
      <c r="A2" s="42">
        <v>1</v>
      </c>
      <c r="B2" s="40">
        <v>2001</v>
      </c>
      <c r="C2" s="49" t="s">
        <v>273</v>
      </c>
      <c r="D2" s="41">
        <v>423553612</v>
      </c>
      <c r="E2" s="50" t="s">
        <v>241</v>
      </c>
      <c r="H2" s="51" t="s">
        <v>343</v>
      </c>
      <c r="I2" s="76">
        <v>2182090693</v>
      </c>
    </row>
    <row r="3" spans="1:9">
      <c r="A3" s="42">
        <v>2</v>
      </c>
      <c r="B3" s="40">
        <v>2002</v>
      </c>
      <c r="C3" s="49" t="s">
        <v>274</v>
      </c>
      <c r="D3" s="41">
        <v>88846490</v>
      </c>
      <c r="E3" s="50" t="s">
        <v>241</v>
      </c>
      <c r="H3" s="51" t="s">
        <v>266</v>
      </c>
      <c r="I3" s="76">
        <v>662957868</v>
      </c>
    </row>
    <row r="4" spans="1:9">
      <c r="A4" s="42">
        <v>3</v>
      </c>
      <c r="B4" s="40">
        <v>2003</v>
      </c>
      <c r="C4" s="49" t="s">
        <v>275</v>
      </c>
      <c r="D4" s="41">
        <v>8657000</v>
      </c>
      <c r="E4" s="50" t="s">
        <v>248</v>
      </c>
      <c r="H4" s="51" t="s">
        <v>258</v>
      </c>
      <c r="I4" s="76">
        <v>1213202735</v>
      </c>
    </row>
    <row r="5" spans="1:9">
      <c r="A5" s="42">
        <v>4</v>
      </c>
      <c r="B5" s="40">
        <v>2004</v>
      </c>
      <c r="C5" s="49" t="s">
        <v>276</v>
      </c>
      <c r="D5" s="41">
        <v>341537347</v>
      </c>
      <c r="E5" s="50" t="s">
        <v>248</v>
      </c>
      <c r="H5" s="51" t="s">
        <v>259</v>
      </c>
      <c r="I5" s="76">
        <v>1335567573</v>
      </c>
    </row>
    <row r="6" spans="1:9">
      <c r="A6" s="42">
        <v>5</v>
      </c>
      <c r="B6" s="40">
        <v>2005</v>
      </c>
      <c r="C6" s="49" t="s">
        <v>277</v>
      </c>
      <c r="D6" s="41">
        <v>1190000</v>
      </c>
      <c r="E6" s="50" t="s">
        <v>248</v>
      </c>
      <c r="H6" s="51" t="s">
        <v>250</v>
      </c>
      <c r="I6" s="76">
        <v>1087940461</v>
      </c>
    </row>
    <row r="7" spans="1:9">
      <c r="A7" s="42">
        <v>6</v>
      </c>
      <c r="B7" s="40">
        <v>2007</v>
      </c>
      <c r="C7" s="49" t="s">
        <v>279</v>
      </c>
      <c r="D7" s="41">
        <v>99376600</v>
      </c>
      <c r="E7" s="50" t="s">
        <v>249</v>
      </c>
      <c r="H7" s="51" t="s">
        <v>269</v>
      </c>
      <c r="I7" s="76">
        <v>8241100000</v>
      </c>
    </row>
    <row r="8" spans="1:9">
      <c r="A8" s="42">
        <v>7</v>
      </c>
      <c r="B8" s="40">
        <v>2008</v>
      </c>
      <c r="C8" s="49" t="s">
        <v>280</v>
      </c>
      <c r="D8" s="41">
        <v>2400000</v>
      </c>
      <c r="E8" s="53" t="s">
        <v>261</v>
      </c>
      <c r="H8" s="51" t="s">
        <v>253</v>
      </c>
      <c r="I8" s="76">
        <v>149317800</v>
      </c>
    </row>
    <row r="9" spans="1:9">
      <c r="A9" s="42">
        <v>8</v>
      </c>
      <c r="B9" s="40">
        <v>2009</v>
      </c>
      <c r="C9" s="49" t="s">
        <v>281</v>
      </c>
      <c r="D9" s="41">
        <v>14225834</v>
      </c>
      <c r="E9" s="53" t="s">
        <v>261</v>
      </c>
      <c r="H9" s="51" t="s">
        <v>255</v>
      </c>
      <c r="I9" s="76">
        <v>391290600</v>
      </c>
    </row>
    <row r="10" spans="1:9">
      <c r="A10" s="42">
        <v>9</v>
      </c>
      <c r="B10" s="40">
        <v>2010</v>
      </c>
      <c r="C10" s="49" t="s">
        <v>282</v>
      </c>
      <c r="D10" s="41">
        <v>974705024</v>
      </c>
      <c r="E10" s="54" t="s">
        <v>250</v>
      </c>
      <c r="H10" s="51" t="s">
        <v>251</v>
      </c>
      <c r="I10" s="76">
        <v>2517873501</v>
      </c>
    </row>
    <row r="11" spans="1:9">
      <c r="A11" s="42">
        <v>19</v>
      </c>
      <c r="B11" s="40">
        <v>2017</v>
      </c>
      <c r="C11" s="49" t="s">
        <v>289</v>
      </c>
      <c r="D11" s="41">
        <v>113235437</v>
      </c>
      <c r="E11" s="54" t="s">
        <v>250</v>
      </c>
      <c r="H11" s="51" t="s">
        <v>254</v>
      </c>
      <c r="I11" s="76">
        <v>33950000</v>
      </c>
    </row>
    <row r="12" spans="1:9">
      <c r="A12" s="42">
        <v>10</v>
      </c>
      <c r="B12" s="40">
        <v>2011</v>
      </c>
      <c r="C12" s="49" t="s">
        <v>283</v>
      </c>
      <c r="D12" s="41">
        <v>483000000</v>
      </c>
      <c r="E12" s="53" t="s">
        <v>263</v>
      </c>
      <c r="H12" s="51" t="s">
        <v>252</v>
      </c>
      <c r="I12" s="76">
        <v>171206400</v>
      </c>
    </row>
    <row r="13" spans="1:9">
      <c r="A13" s="42">
        <v>11</v>
      </c>
      <c r="B13" s="40">
        <v>2012</v>
      </c>
      <c r="C13" s="55" t="s">
        <v>284</v>
      </c>
      <c r="D13" s="41">
        <v>27095000</v>
      </c>
      <c r="E13" s="56" t="s">
        <v>343</v>
      </c>
      <c r="H13" s="57" t="s">
        <v>62</v>
      </c>
      <c r="I13" s="76">
        <v>19596944983</v>
      </c>
    </row>
    <row r="14" spans="1:9">
      <c r="A14" s="42">
        <v>12</v>
      </c>
      <c r="B14" s="40">
        <v>2013</v>
      </c>
      <c r="C14" s="55" t="s">
        <v>285</v>
      </c>
      <c r="D14" s="41">
        <v>1254051000</v>
      </c>
      <c r="E14" s="56" t="s">
        <v>343</v>
      </c>
      <c r="H14" s="51" t="s">
        <v>267</v>
      </c>
      <c r="I14" s="76">
        <v>100176000</v>
      </c>
    </row>
    <row r="15" spans="1:9">
      <c r="A15" s="42">
        <v>13</v>
      </c>
      <c r="B15" s="40">
        <v>2014</v>
      </c>
      <c r="C15" s="55" t="s">
        <v>286</v>
      </c>
      <c r="D15" s="41">
        <v>348788116</v>
      </c>
      <c r="E15" s="56" t="s">
        <v>343</v>
      </c>
      <c r="H15" s="51" t="s">
        <v>263</v>
      </c>
      <c r="I15" s="76">
        <v>2199094864</v>
      </c>
    </row>
    <row r="16" spans="1:9">
      <c r="A16" s="42">
        <v>14</v>
      </c>
      <c r="B16" s="40">
        <v>2006</v>
      </c>
      <c r="C16" s="55" t="s">
        <v>278</v>
      </c>
      <c r="D16" s="41">
        <v>195420144</v>
      </c>
      <c r="E16" s="56" t="s">
        <v>343</v>
      </c>
      <c r="H16" s="51" t="s">
        <v>268</v>
      </c>
      <c r="I16" s="76">
        <v>99125000</v>
      </c>
    </row>
    <row r="17" spans="1:9">
      <c r="A17" s="42">
        <v>15</v>
      </c>
      <c r="B17" s="40">
        <v>3015</v>
      </c>
      <c r="C17" s="55" t="s">
        <v>323</v>
      </c>
      <c r="D17" s="41">
        <v>38449433</v>
      </c>
      <c r="E17" s="56" t="s">
        <v>343</v>
      </c>
      <c r="H17" s="51" t="s">
        <v>241</v>
      </c>
      <c r="I17" s="77">
        <v>687383405</v>
      </c>
    </row>
    <row r="18" spans="1:9">
      <c r="A18" s="42">
        <v>16</v>
      </c>
      <c r="B18" s="40">
        <v>2015</v>
      </c>
      <c r="C18" s="55" t="s">
        <v>287</v>
      </c>
      <c r="D18" s="41">
        <v>318287000</v>
      </c>
      <c r="E18" s="56" t="s">
        <v>343</v>
      </c>
      <c r="H18" s="51" t="s">
        <v>265</v>
      </c>
      <c r="I18" s="77">
        <v>12786452014</v>
      </c>
    </row>
    <row r="19" spans="1:9">
      <c r="A19" s="42">
        <v>17</v>
      </c>
      <c r="B19" s="40">
        <v>2016</v>
      </c>
      <c r="C19" s="59" t="s">
        <v>288</v>
      </c>
      <c r="D19" s="41">
        <v>323852507</v>
      </c>
      <c r="E19" s="50" t="s">
        <v>243</v>
      </c>
      <c r="H19" s="51" t="s">
        <v>248</v>
      </c>
      <c r="I19" s="77">
        <v>1495295350</v>
      </c>
    </row>
    <row r="20" spans="1:9">
      <c r="A20" s="42">
        <v>18</v>
      </c>
      <c r="B20" s="40">
        <v>2045</v>
      </c>
      <c r="C20" s="59" t="s">
        <v>303</v>
      </c>
      <c r="D20" s="41">
        <v>1556619312</v>
      </c>
      <c r="E20" s="50" t="s">
        <v>243</v>
      </c>
      <c r="H20" s="51"/>
      <c r="I20" s="77"/>
    </row>
    <row r="21" spans="1:9">
      <c r="A21" s="42">
        <v>21</v>
      </c>
      <c r="B21" s="40">
        <v>2042</v>
      </c>
      <c r="C21" s="49" t="s">
        <v>300</v>
      </c>
      <c r="D21" s="41">
        <v>50629000</v>
      </c>
      <c r="E21" s="53" t="s">
        <v>263</v>
      </c>
      <c r="H21" s="51" t="s">
        <v>249</v>
      </c>
      <c r="I21" s="77">
        <v>1961374034</v>
      </c>
    </row>
    <row r="22" spans="1:9">
      <c r="A22" s="42">
        <v>22</v>
      </c>
      <c r="B22" s="40">
        <v>2020</v>
      </c>
      <c r="C22" s="49" t="s">
        <v>291</v>
      </c>
      <c r="D22" s="41">
        <v>510309469</v>
      </c>
      <c r="E22" s="53" t="s">
        <v>265</v>
      </c>
      <c r="H22" s="51" t="s">
        <v>247</v>
      </c>
      <c r="I22" s="77">
        <v>826012871</v>
      </c>
    </row>
    <row r="23" spans="1:9">
      <c r="A23" s="42">
        <v>23</v>
      </c>
      <c r="B23" s="40">
        <v>2026</v>
      </c>
      <c r="C23" s="49" t="s">
        <v>292</v>
      </c>
      <c r="D23" s="41">
        <v>257308732</v>
      </c>
      <c r="E23" s="50" t="s">
        <v>347</v>
      </c>
      <c r="H23" s="51" t="s">
        <v>246</v>
      </c>
      <c r="I23" s="77">
        <v>830879396</v>
      </c>
    </row>
    <row r="24" spans="1:9">
      <c r="A24" s="42">
        <v>24</v>
      </c>
      <c r="B24" s="40">
        <v>2029</v>
      </c>
      <c r="C24" s="49" t="s">
        <v>293</v>
      </c>
      <c r="D24" s="41">
        <v>439429536</v>
      </c>
      <c r="E24" s="53" t="s">
        <v>263</v>
      </c>
      <c r="H24" s="51" t="s">
        <v>245</v>
      </c>
      <c r="I24" s="77">
        <v>1107049786</v>
      </c>
    </row>
    <row r="25" spans="1:9">
      <c r="A25" s="42">
        <v>25</v>
      </c>
      <c r="B25" s="40">
        <v>2030</v>
      </c>
      <c r="C25" s="49" t="s">
        <v>294</v>
      </c>
      <c r="D25" s="41">
        <v>1143911003</v>
      </c>
      <c r="E25" s="50" t="s">
        <v>248</v>
      </c>
      <c r="H25" s="51" t="s">
        <v>43</v>
      </c>
      <c r="I25" s="77">
        <v>1331495476</v>
      </c>
    </row>
    <row r="26" spans="1:9">
      <c r="A26" s="42">
        <v>26</v>
      </c>
      <c r="B26" s="40">
        <v>2033</v>
      </c>
      <c r="C26" s="49" t="s">
        <v>295</v>
      </c>
      <c r="D26" s="41">
        <v>826012871</v>
      </c>
      <c r="E26" s="50" t="s">
        <v>247</v>
      </c>
      <c r="H26" s="51" t="s">
        <v>264</v>
      </c>
      <c r="I26" s="77">
        <v>549777000</v>
      </c>
    </row>
    <row r="27" spans="1:9">
      <c r="A27" s="42">
        <v>69</v>
      </c>
      <c r="B27" s="40">
        <v>6006</v>
      </c>
      <c r="C27" s="49" t="s">
        <v>334</v>
      </c>
      <c r="D27" s="41">
        <v>1107049786</v>
      </c>
      <c r="E27" s="50" t="s">
        <v>245</v>
      </c>
      <c r="H27" s="51" t="s">
        <v>347</v>
      </c>
      <c r="I27" s="77">
        <v>864344674</v>
      </c>
    </row>
    <row r="28" spans="1:9">
      <c r="A28" s="42">
        <v>28</v>
      </c>
      <c r="B28" s="40">
        <v>2041</v>
      </c>
      <c r="C28" s="49" t="s">
        <v>299</v>
      </c>
      <c r="D28" s="41">
        <v>830879396</v>
      </c>
      <c r="E28" s="54" t="s">
        <v>246</v>
      </c>
      <c r="H28" s="51" t="s">
        <v>243</v>
      </c>
      <c r="I28" s="77">
        <v>1880471819</v>
      </c>
    </row>
    <row r="29" spans="1:9">
      <c r="A29" s="42">
        <v>29</v>
      </c>
      <c r="B29" s="40">
        <v>2043</v>
      </c>
      <c r="C29" s="49" t="s">
        <v>301</v>
      </c>
      <c r="D29" s="41">
        <v>566040000</v>
      </c>
      <c r="E29" s="53" t="s">
        <v>265</v>
      </c>
      <c r="H29" s="51" t="s">
        <v>244</v>
      </c>
      <c r="I29" s="77">
        <v>674096098</v>
      </c>
    </row>
    <row r="30" spans="1:9">
      <c r="A30" s="42">
        <v>30</v>
      </c>
      <c r="B30" s="40">
        <v>2046</v>
      </c>
      <c r="C30" s="49" t="s">
        <v>304</v>
      </c>
      <c r="D30" s="41">
        <v>92636876</v>
      </c>
      <c r="E30" s="53" t="s">
        <v>265</v>
      </c>
      <c r="H30" s="51" t="s">
        <v>262</v>
      </c>
      <c r="I30" s="77">
        <v>685363050</v>
      </c>
    </row>
    <row r="31" spans="1:9">
      <c r="A31" s="42">
        <v>31</v>
      </c>
      <c r="B31" s="40">
        <v>2047</v>
      </c>
      <c r="C31" s="60" t="s">
        <v>305</v>
      </c>
      <c r="D31" s="41">
        <v>662957868</v>
      </c>
      <c r="E31" s="53" t="s">
        <v>266</v>
      </c>
      <c r="H31" s="51" t="s">
        <v>342</v>
      </c>
      <c r="I31" s="77">
        <v>79470000</v>
      </c>
    </row>
    <row r="32" spans="1:9">
      <c r="A32" s="42">
        <v>32</v>
      </c>
      <c r="B32" s="40">
        <v>3012</v>
      </c>
      <c r="C32" s="60" t="s">
        <v>320</v>
      </c>
      <c r="D32" s="41">
        <v>674096098</v>
      </c>
      <c r="E32" s="50" t="s">
        <v>244</v>
      </c>
      <c r="H32" s="51" t="s">
        <v>261</v>
      </c>
      <c r="I32" s="77">
        <v>282773834</v>
      </c>
    </row>
    <row r="33" spans="1:9">
      <c r="A33" s="42">
        <v>33</v>
      </c>
      <c r="B33" s="40">
        <v>2040</v>
      </c>
      <c r="C33" s="60" t="s">
        <v>298</v>
      </c>
      <c r="D33" s="41">
        <v>159605000</v>
      </c>
      <c r="E33" s="53" t="s">
        <v>265</v>
      </c>
      <c r="H33" s="39" t="s">
        <v>240</v>
      </c>
      <c r="I33" s="77">
        <v>570045106</v>
      </c>
    </row>
    <row r="34" spans="1:9">
      <c r="A34" s="42">
        <v>34</v>
      </c>
      <c r="B34" s="40">
        <v>2048</v>
      </c>
      <c r="C34" s="60" t="s">
        <v>306</v>
      </c>
      <c r="D34" s="41">
        <v>103950000</v>
      </c>
      <c r="E34" s="53" t="s">
        <v>262</v>
      </c>
      <c r="H34" s="51" t="s">
        <v>351</v>
      </c>
      <c r="I34" s="52">
        <f>SUM(I2:I33)</f>
        <v>66594122391</v>
      </c>
    </row>
    <row r="35" spans="1:9">
      <c r="A35" s="42">
        <v>35</v>
      </c>
      <c r="B35" s="40">
        <v>2049</v>
      </c>
      <c r="C35" s="60" t="s">
        <v>307</v>
      </c>
      <c r="D35" s="41">
        <v>509263450</v>
      </c>
      <c r="E35" s="53" t="s">
        <v>262</v>
      </c>
      <c r="H35" s="51"/>
      <c r="I35" s="52">
        <f>D86</f>
        <v>66658676391</v>
      </c>
    </row>
    <row r="36" spans="1:9">
      <c r="A36" s="42">
        <v>36</v>
      </c>
      <c r="B36" s="40">
        <v>2050</v>
      </c>
      <c r="C36" s="60" t="s">
        <v>308</v>
      </c>
      <c r="D36" s="41">
        <v>117832328</v>
      </c>
      <c r="E36" s="53" t="s">
        <v>263</v>
      </c>
      <c r="H36" s="51"/>
      <c r="I36" s="58">
        <f>I34-I35</f>
        <v>-64554000</v>
      </c>
    </row>
    <row r="37" spans="1:9">
      <c r="A37" s="42">
        <v>37</v>
      </c>
      <c r="B37" s="40">
        <v>2051</v>
      </c>
      <c r="C37" s="60" t="s">
        <v>309</v>
      </c>
      <c r="D37" s="41">
        <v>99125000</v>
      </c>
      <c r="E37" s="53" t="s">
        <v>268</v>
      </c>
      <c r="H37" s="51"/>
      <c r="I37" s="52"/>
    </row>
    <row r="38" spans="1:9">
      <c r="A38" s="42">
        <v>38</v>
      </c>
      <c r="B38" s="40">
        <v>2055</v>
      </c>
      <c r="C38" s="60" t="s">
        <v>310</v>
      </c>
      <c r="D38" s="41">
        <v>8241100000</v>
      </c>
      <c r="E38" s="53" t="s">
        <v>269</v>
      </c>
      <c r="H38" s="51"/>
      <c r="I38" s="52"/>
    </row>
    <row r="39" spans="1:9">
      <c r="A39" s="42">
        <v>39</v>
      </c>
      <c r="B39" s="40">
        <v>6012</v>
      </c>
      <c r="C39" s="60" t="s">
        <v>335</v>
      </c>
      <c r="D39" s="41">
        <v>72149600</v>
      </c>
      <c r="E39" s="53" t="s">
        <v>262</v>
      </c>
    </row>
    <row r="40" spans="1:9">
      <c r="A40" s="42">
        <v>40</v>
      </c>
      <c r="B40" s="40">
        <v>6013</v>
      </c>
      <c r="C40" s="60" t="s">
        <v>336</v>
      </c>
      <c r="D40" s="41">
        <v>800545956</v>
      </c>
      <c r="E40" s="50" t="s">
        <v>249</v>
      </c>
    </row>
    <row r="41" spans="1:9">
      <c r="A41" s="42">
        <v>41</v>
      </c>
      <c r="B41" s="40">
        <v>6014</v>
      </c>
      <c r="C41" s="60" t="s">
        <v>337</v>
      </c>
      <c r="D41" s="41">
        <v>1229642790</v>
      </c>
      <c r="E41" s="53" t="s">
        <v>265</v>
      </c>
    </row>
    <row r="42" spans="1:9">
      <c r="A42" s="42">
        <v>42</v>
      </c>
      <c r="B42" s="40">
        <v>6015</v>
      </c>
      <c r="C42" s="60" t="s">
        <v>338</v>
      </c>
      <c r="D42" s="41">
        <v>1127923388</v>
      </c>
      <c r="E42" s="53" t="s">
        <v>265</v>
      </c>
    </row>
    <row r="43" spans="1:9">
      <c r="A43" s="42">
        <v>43</v>
      </c>
      <c r="B43" s="40">
        <v>6016</v>
      </c>
      <c r="C43" s="60" t="s">
        <v>339</v>
      </c>
      <c r="D43" s="41">
        <v>3324027373</v>
      </c>
      <c r="E43" s="53" t="s">
        <v>265</v>
      </c>
    </row>
    <row r="44" spans="1:9">
      <c r="A44" s="42">
        <v>44</v>
      </c>
      <c r="B44" s="40">
        <v>6017</v>
      </c>
      <c r="C44" s="60" t="s">
        <v>340</v>
      </c>
      <c r="D44" s="41">
        <v>694402874</v>
      </c>
      <c r="E44" s="53" t="s">
        <v>265</v>
      </c>
    </row>
    <row r="45" spans="1:9">
      <c r="A45" s="42">
        <v>45</v>
      </c>
      <c r="B45" s="40">
        <v>6018</v>
      </c>
      <c r="C45" s="60" t="s">
        <v>341</v>
      </c>
      <c r="D45" s="41">
        <v>1108204000</v>
      </c>
      <c r="E45" s="53" t="s">
        <v>263</v>
      </c>
    </row>
    <row r="46" spans="1:9">
      <c r="A46" s="42">
        <v>46</v>
      </c>
      <c r="B46" s="40">
        <v>2044</v>
      </c>
      <c r="C46" s="60" t="s">
        <v>302</v>
      </c>
      <c r="D46" s="41">
        <v>160808832</v>
      </c>
      <c r="E46" s="53" t="s">
        <v>265</v>
      </c>
    </row>
    <row r="47" spans="1:9">
      <c r="A47" s="42">
        <v>47</v>
      </c>
      <c r="B47" s="40">
        <v>2056</v>
      </c>
      <c r="C47" s="60" t="s">
        <v>311</v>
      </c>
      <c r="D47" s="41">
        <v>4921055412</v>
      </c>
      <c r="E47" s="53" t="s">
        <v>265</v>
      </c>
    </row>
    <row r="48" spans="1:9">
      <c r="A48" s="42">
        <v>48</v>
      </c>
      <c r="B48" s="40">
        <v>3000</v>
      </c>
      <c r="C48" s="63" t="s">
        <v>312</v>
      </c>
      <c r="D48" s="41">
        <v>23000000</v>
      </c>
      <c r="E48" s="53" t="s">
        <v>261</v>
      </c>
    </row>
    <row r="49" spans="1:5">
      <c r="A49" s="42">
        <v>49</v>
      </c>
      <c r="B49" s="40">
        <v>3009</v>
      </c>
      <c r="C49" s="63" t="s">
        <v>261</v>
      </c>
      <c r="D49" s="41">
        <v>243148000</v>
      </c>
      <c r="E49" s="53" t="s">
        <v>261</v>
      </c>
    </row>
    <row r="50" spans="1:5">
      <c r="A50" s="42">
        <v>50</v>
      </c>
      <c r="B50" s="40">
        <v>3001</v>
      </c>
      <c r="C50" s="64" t="s">
        <v>313</v>
      </c>
      <c r="D50" s="41">
        <v>1898359994</v>
      </c>
      <c r="E50" s="53" t="s">
        <v>251</v>
      </c>
    </row>
    <row r="51" spans="1:5">
      <c r="A51" s="42">
        <v>51</v>
      </c>
      <c r="B51" s="40">
        <v>3002</v>
      </c>
      <c r="C51" s="64" t="s">
        <v>314</v>
      </c>
      <c r="D51" s="41">
        <v>171206400</v>
      </c>
      <c r="E51" s="53" t="s">
        <v>252</v>
      </c>
    </row>
    <row r="52" spans="1:5">
      <c r="A52" s="42">
        <v>52</v>
      </c>
      <c r="B52" s="40">
        <v>3003</v>
      </c>
      <c r="C52" s="64" t="s">
        <v>315</v>
      </c>
      <c r="D52" s="41">
        <v>62078800</v>
      </c>
      <c r="E52" s="53" t="s">
        <v>253</v>
      </c>
    </row>
    <row r="53" spans="1:5">
      <c r="A53" s="42">
        <v>53</v>
      </c>
      <c r="B53" s="40">
        <v>3004</v>
      </c>
      <c r="C53" s="64" t="s">
        <v>316</v>
      </c>
      <c r="D53" s="41">
        <v>87239000</v>
      </c>
      <c r="E53" s="53" t="s">
        <v>253</v>
      </c>
    </row>
    <row r="54" spans="1:5">
      <c r="A54" s="42">
        <v>54</v>
      </c>
      <c r="B54" s="40">
        <v>3005</v>
      </c>
      <c r="C54" s="64" t="s">
        <v>317</v>
      </c>
      <c r="D54" s="41">
        <v>33950000</v>
      </c>
      <c r="E54" s="53" t="s">
        <v>254</v>
      </c>
    </row>
    <row r="55" spans="1:5">
      <c r="A55" s="42">
        <v>55</v>
      </c>
      <c r="B55" s="40">
        <v>6003</v>
      </c>
      <c r="C55" s="64" t="s">
        <v>332</v>
      </c>
      <c r="D55" s="41">
        <v>96000000</v>
      </c>
      <c r="E55" s="53" t="s">
        <v>251</v>
      </c>
    </row>
    <row r="56" spans="1:5">
      <c r="A56" s="42">
        <v>56</v>
      </c>
      <c r="B56" s="40">
        <v>3006</v>
      </c>
      <c r="C56" s="64" t="s">
        <v>318</v>
      </c>
      <c r="D56" s="41">
        <v>391290600</v>
      </c>
      <c r="E56" s="53" t="s">
        <v>255</v>
      </c>
    </row>
    <row r="57" spans="1:5">
      <c r="A57" s="42">
        <v>57</v>
      </c>
      <c r="B57" s="40">
        <v>3008</v>
      </c>
      <c r="C57" s="49" t="s">
        <v>319</v>
      </c>
      <c r="D57" s="41">
        <v>1061451478</v>
      </c>
      <c r="E57" s="50" t="s">
        <v>249</v>
      </c>
    </row>
    <row r="58" spans="1:5">
      <c r="A58" s="42">
        <v>58</v>
      </c>
      <c r="B58" s="40">
        <v>3013</v>
      </c>
      <c r="C58" s="49" t="s">
        <v>321</v>
      </c>
      <c r="D58" s="41">
        <v>166793568</v>
      </c>
      <c r="E58" s="53" t="s">
        <v>251</v>
      </c>
    </row>
    <row r="59" spans="1:5">
      <c r="A59" s="42">
        <v>59</v>
      </c>
      <c r="B59" s="40">
        <v>3014</v>
      </c>
      <c r="C59" s="49" t="s">
        <v>322</v>
      </c>
      <c r="D59" s="41">
        <v>356719939</v>
      </c>
      <c r="E59" s="53" t="s">
        <v>251</v>
      </c>
    </row>
    <row r="60" spans="1:5">
      <c r="A60" s="42">
        <v>60</v>
      </c>
      <c r="B60" s="40">
        <v>3016</v>
      </c>
      <c r="C60" s="49" t="s">
        <v>324</v>
      </c>
      <c r="D60" s="41">
        <v>608287072</v>
      </c>
      <c r="E60" s="53" t="s">
        <v>43</v>
      </c>
    </row>
    <row r="61" spans="1:5">
      <c r="A61" s="42">
        <v>64</v>
      </c>
      <c r="B61" s="40">
        <v>3035</v>
      </c>
      <c r="C61" s="49" t="s">
        <v>327</v>
      </c>
      <c r="D61" s="41">
        <v>5494500</v>
      </c>
      <c r="E61" s="53" t="s">
        <v>43</v>
      </c>
    </row>
    <row r="62" spans="1:5">
      <c r="A62" s="42">
        <v>67</v>
      </c>
      <c r="B62" s="40">
        <v>6001</v>
      </c>
      <c r="C62" s="49" t="s">
        <v>331</v>
      </c>
      <c r="D62" s="41">
        <v>1241968</v>
      </c>
      <c r="E62" s="53" t="s">
        <v>43</v>
      </c>
    </row>
    <row r="63" spans="1:5">
      <c r="A63" s="42">
        <v>61</v>
      </c>
      <c r="B63" s="40">
        <v>3017</v>
      </c>
      <c r="C63" s="49" t="s">
        <v>325</v>
      </c>
      <c r="D63" s="41">
        <v>200845000</v>
      </c>
      <c r="E63" s="53" t="s">
        <v>43</v>
      </c>
    </row>
    <row r="64" spans="1:5">
      <c r="A64" s="42">
        <v>62</v>
      </c>
      <c r="B64" s="40">
        <v>3018</v>
      </c>
      <c r="C64" s="49" t="s">
        <v>264</v>
      </c>
      <c r="D64" s="41">
        <v>549777000</v>
      </c>
      <c r="E64" s="53" t="s">
        <v>264</v>
      </c>
    </row>
    <row r="65" spans="1:9">
      <c r="A65" s="42">
        <v>63</v>
      </c>
      <c r="B65" s="40">
        <v>3033</v>
      </c>
      <c r="C65" s="49" t="s">
        <v>267</v>
      </c>
      <c r="D65" s="41">
        <v>100176000</v>
      </c>
      <c r="E65" s="53" t="s">
        <v>267</v>
      </c>
    </row>
    <row r="66" spans="1:9">
      <c r="A66" s="42">
        <v>65</v>
      </c>
      <c r="B66" s="40">
        <v>3038</v>
      </c>
      <c r="C66" s="49" t="s">
        <v>329</v>
      </c>
      <c r="D66" s="41">
        <v>506276936</v>
      </c>
      <c r="E66" s="53" t="s">
        <v>43</v>
      </c>
    </row>
    <row r="67" spans="1:9">
      <c r="A67" s="42">
        <v>66</v>
      </c>
      <c r="B67" s="40">
        <v>3039</v>
      </c>
      <c r="C67" s="49" t="s">
        <v>330</v>
      </c>
      <c r="D67" s="41">
        <v>9350000</v>
      </c>
      <c r="E67" s="53" t="s">
        <v>43</v>
      </c>
    </row>
    <row r="68" spans="1:9">
      <c r="A68" s="42">
        <v>68</v>
      </c>
      <c r="B68" s="40">
        <v>6005</v>
      </c>
      <c r="C68" s="49" t="s">
        <v>333</v>
      </c>
      <c r="D68" s="41">
        <v>79470000</v>
      </c>
      <c r="E68" s="65" t="s">
        <v>342</v>
      </c>
    </row>
    <row r="69" spans="1:9">
      <c r="A69" s="42">
        <v>70</v>
      </c>
      <c r="B69" s="40">
        <v>2039</v>
      </c>
      <c r="C69" s="49" t="s">
        <v>297</v>
      </c>
      <c r="D69" s="41">
        <v>627664960</v>
      </c>
      <c r="E69" s="66" t="s">
        <v>62</v>
      </c>
    </row>
    <row r="70" spans="1:9">
      <c r="A70" s="42">
        <v>20</v>
      </c>
      <c r="B70" s="40">
        <v>2018</v>
      </c>
      <c r="C70" s="49" t="s">
        <v>290</v>
      </c>
      <c r="D70" s="41">
        <v>7140000</v>
      </c>
      <c r="E70" s="66" t="s">
        <v>62</v>
      </c>
    </row>
    <row r="71" spans="1:9">
      <c r="A71" s="42">
        <v>71</v>
      </c>
      <c r="B71" s="40">
        <v>3029</v>
      </c>
      <c r="C71" s="49" t="s">
        <v>326</v>
      </c>
      <c r="D71" s="41">
        <v>317435942</v>
      </c>
      <c r="E71" s="51" t="s">
        <v>347</v>
      </c>
    </row>
    <row r="72" spans="1:9">
      <c r="A72" s="42">
        <v>27</v>
      </c>
      <c r="B72" s="40">
        <v>2037</v>
      </c>
      <c r="C72" s="49" t="s">
        <v>296</v>
      </c>
      <c r="D72" s="41">
        <v>289600000</v>
      </c>
      <c r="E72" s="51" t="s">
        <v>347</v>
      </c>
    </row>
    <row r="73" spans="1:9">
      <c r="A73" s="42">
        <v>72</v>
      </c>
      <c r="B73" s="40">
        <v>3036</v>
      </c>
      <c r="C73" s="49" t="s">
        <v>328</v>
      </c>
      <c r="D73" s="41">
        <f>3407645112+52383644</f>
        <v>3460028756</v>
      </c>
      <c r="E73" s="66" t="s">
        <v>62</v>
      </c>
    </row>
    <row r="74" spans="1:9" ht="30.75">
      <c r="A74" s="42">
        <v>73</v>
      </c>
      <c r="B74" s="42"/>
      <c r="C74" s="69" t="s">
        <v>352</v>
      </c>
      <c r="D74" s="41">
        <v>7109369587</v>
      </c>
      <c r="E74" s="67" t="s">
        <v>62</v>
      </c>
      <c r="I74" s="68"/>
    </row>
    <row r="75" spans="1:9">
      <c r="A75" s="42">
        <v>74</v>
      </c>
      <c r="B75" s="42"/>
      <c r="C75" s="69" t="s">
        <v>353</v>
      </c>
      <c r="D75" s="41">
        <v>59496911</v>
      </c>
      <c r="E75" s="66" t="s">
        <v>62</v>
      </c>
    </row>
    <row r="76" spans="1:9">
      <c r="A76" s="42">
        <v>75</v>
      </c>
      <c r="B76" s="42"/>
      <c r="C76" s="69" t="s">
        <v>354</v>
      </c>
      <c r="D76" s="41">
        <v>1213202735</v>
      </c>
      <c r="E76" s="53" t="s">
        <v>258</v>
      </c>
    </row>
    <row r="77" spans="1:9">
      <c r="A77" s="42">
        <v>76</v>
      </c>
      <c r="B77" s="42"/>
      <c r="C77" s="69" t="s">
        <v>355</v>
      </c>
      <c r="D77" s="41">
        <v>8333244769</v>
      </c>
      <c r="E77" s="66" t="s">
        <v>62</v>
      </c>
    </row>
    <row r="78" spans="1:9">
      <c r="A78" s="42">
        <v>77</v>
      </c>
      <c r="B78" s="42"/>
      <c r="C78" s="69" t="s">
        <v>356</v>
      </c>
      <c r="D78" s="41">
        <v>1335567573</v>
      </c>
      <c r="E78" s="53" t="s">
        <v>259</v>
      </c>
    </row>
    <row r="79" spans="1:9" ht="25.5">
      <c r="A79" s="42">
        <v>78</v>
      </c>
      <c r="B79" s="42"/>
      <c r="C79" s="69" t="s">
        <v>357</v>
      </c>
      <c r="D79" s="41">
        <v>469122932</v>
      </c>
      <c r="E79" s="38" t="s">
        <v>240</v>
      </c>
    </row>
    <row r="80" spans="1:9" ht="25.5">
      <c r="A80" s="42">
        <v>79</v>
      </c>
      <c r="B80" s="42"/>
      <c r="C80" s="69" t="s">
        <v>358</v>
      </c>
      <c r="D80" s="41">
        <v>100922174</v>
      </c>
      <c r="E80" s="38" t="s">
        <v>240</v>
      </c>
    </row>
    <row r="81" spans="1:5">
      <c r="A81" s="42">
        <v>80</v>
      </c>
      <c r="B81" s="42"/>
      <c r="C81" s="69" t="s">
        <v>359</v>
      </c>
      <c r="D81" s="41">
        <v>174983303</v>
      </c>
      <c r="E81" s="50" t="s">
        <v>241</v>
      </c>
    </row>
    <row r="82" spans="1:5">
      <c r="A82" s="42">
        <v>81</v>
      </c>
      <c r="B82" s="42"/>
      <c r="C82" s="69" t="s">
        <v>360</v>
      </c>
      <c r="D82" s="81">
        <v>182430200</v>
      </c>
      <c r="E82" s="66"/>
    </row>
    <row r="83" spans="1:5">
      <c r="A83" s="42"/>
      <c r="B83" s="42"/>
      <c r="C83" s="69" t="s">
        <v>395</v>
      </c>
      <c r="D83" s="81">
        <v>64554000</v>
      </c>
      <c r="E83" s="66"/>
    </row>
    <row r="84" spans="1:5">
      <c r="A84" s="42">
        <v>82</v>
      </c>
      <c r="B84" s="42"/>
      <c r="C84" s="70" t="s">
        <v>361</v>
      </c>
      <c r="D84" s="71">
        <v>8569896643</v>
      </c>
      <c r="E84" s="72"/>
    </row>
    <row r="85" spans="1:5">
      <c r="C85" s="80"/>
      <c r="D85" s="74">
        <f>SUM(D2:D84)</f>
        <v>75411003234</v>
      </c>
      <c r="E85" s="79"/>
    </row>
    <row r="86" spans="1:5">
      <c r="D86" s="77">
        <f>D85-D84-D82</f>
        <v>66658676391</v>
      </c>
    </row>
    <row r="87" spans="1:5">
      <c r="D87" s="74">
        <f>SUM(D2:D81)</f>
        <v>66594122391</v>
      </c>
    </row>
    <row r="88" spans="1:5">
      <c r="D88" s="39">
        <v>769328201</v>
      </c>
    </row>
  </sheetData>
  <autoFilter ref="A1:I86" xr:uid="{00000000-0009-0000-0000-00001D000000}"/>
  <conditionalFormatting sqref="C1:C1048576">
    <cfRule type="duplicateValues" dxfId="0" priority="1"/>
  </conditionalFormatting>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7"/>
  <sheetViews>
    <sheetView rightToLeft="1" workbookViewId="0">
      <selection activeCell="H7" sqref="H7"/>
    </sheetView>
  </sheetViews>
  <sheetFormatPr defaultRowHeight="21.75"/>
  <cols>
    <col min="1" max="1" width="39.85546875" style="78" bestFit="1" customWidth="1"/>
    <col min="2" max="16384" width="9.140625" style="78"/>
  </cols>
  <sheetData>
    <row r="1" spans="1:1">
      <c r="A1" s="90" t="s">
        <v>202</v>
      </c>
    </row>
    <row r="2" spans="1:1">
      <c r="A2" s="90" t="s">
        <v>213</v>
      </c>
    </row>
    <row r="3" spans="1:1">
      <c r="A3" s="90" t="s">
        <v>214</v>
      </c>
    </row>
    <row r="4" spans="1:1">
      <c r="A4" s="90" t="s">
        <v>215</v>
      </c>
    </row>
    <row r="5" spans="1:1">
      <c r="A5" s="90" t="s">
        <v>400</v>
      </c>
    </row>
    <row r="6" spans="1:1">
      <c r="A6" s="90" t="s">
        <v>222</v>
      </c>
    </row>
    <row r="7" spans="1:1">
      <c r="A7" s="90" t="s">
        <v>397</v>
      </c>
    </row>
  </sheetData>
  <pageMargins left="0.7" right="0.7" top="0.75" bottom="0.75" header="0.3" footer="0.3"/>
  <pageSetup paperSize="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34</vt:i4>
      </vt:variant>
    </vt:vector>
  </HeadingPairs>
  <TitlesOfParts>
    <vt:vector size="65" baseType="lpstr">
      <vt:lpstr>فهرست</vt:lpstr>
      <vt:lpstr>ت</vt:lpstr>
      <vt:lpstr>ع</vt:lpstr>
      <vt:lpstr>تفریغ</vt:lpstr>
      <vt:lpstr>منابع ومصارف</vt:lpstr>
      <vt:lpstr>حمایت ها</vt:lpstr>
      <vt:lpstr>تعدیلات</vt:lpstr>
      <vt:lpstr>يادداشتها</vt:lpstr>
      <vt:lpstr>یادداشتها2</vt:lpstr>
      <vt:lpstr>وضعيت پردا غ ق</vt:lpstr>
      <vt:lpstr>ن7</vt:lpstr>
      <vt:lpstr>مانده پرداختهای غیر قطعی سن</vt:lpstr>
      <vt:lpstr>مانده پرداختهای غیر قطعی جا</vt:lpstr>
      <vt:lpstr>دارایی ثابت مشهود</vt:lpstr>
      <vt:lpstr>دارایی نامشهود</vt:lpstr>
      <vt:lpstr>دارایی ثابت قدیمی</vt:lpstr>
      <vt:lpstr>دارایی ثابت (2)</vt:lpstr>
      <vt:lpstr>دارایی ثابت (3)</vt:lpstr>
      <vt:lpstr>درآمد دولت</vt:lpstr>
      <vt:lpstr>ن6</vt:lpstr>
      <vt:lpstr> مصوب</vt:lpstr>
      <vt:lpstr>ن2</vt:lpstr>
      <vt:lpstr>ن1</vt:lpstr>
      <vt:lpstr>ن3</vt:lpstr>
      <vt:lpstr>وجوه مصرف نشده</vt:lpstr>
      <vt:lpstr>ن4</vt:lpstr>
      <vt:lpstr>ابلاغي</vt:lpstr>
      <vt:lpstr>ن5</vt:lpstr>
      <vt:lpstr>سايرمنابع جاری</vt:lpstr>
      <vt:lpstr>عوامل هزینه</vt:lpstr>
      <vt:lpstr>ثبت ها</vt:lpstr>
      <vt:lpstr>' مصوب'!Print_Area</vt:lpstr>
      <vt:lpstr>ابلاغي!Print_Area</vt:lpstr>
      <vt:lpstr>ت!Print_Area</vt:lpstr>
      <vt:lpstr>تفریغ!Print_Area</vt:lpstr>
      <vt:lpstr>'حمایت ها'!Print_Area</vt:lpstr>
      <vt:lpstr>'دارایی ثابت (2)'!Print_Area</vt:lpstr>
      <vt:lpstr>'دارایی ثابت (3)'!Print_Area</vt:lpstr>
      <vt:lpstr>'دارایی ثابت قدیمی'!Print_Area</vt:lpstr>
      <vt:lpstr>'دارایی ثابت مشهود'!Print_Area</vt:lpstr>
      <vt:lpstr>'دارایی نامشهود'!Print_Area</vt:lpstr>
      <vt:lpstr>'درآمد دولت'!Print_Area</vt:lpstr>
      <vt:lpstr>'سايرمنابع جاری'!Print_Area</vt:lpstr>
      <vt:lpstr>ع!Print_Area</vt:lpstr>
      <vt:lpstr>فهرست!Print_Area</vt:lpstr>
      <vt:lpstr>'مانده پرداختهای غیر قطعی جا'!Print_Area</vt:lpstr>
      <vt:lpstr>'مانده پرداختهای غیر قطعی سن'!Print_Area</vt:lpstr>
      <vt:lpstr>'منابع ومصارف'!Print_Area</vt:lpstr>
      <vt:lpstr>ن1!Print_Area</vt:lpstr>
      <vt:lpstr>ن2!Print_Area</vt:lpstr>
      <vt:lpstr>ن3!Print_Area</vt:lpstr>
      <vt:lpstr>ن4!Print_Area</vt:lpstr>
      <vt:lpstr>ن5!Print_Area</vt:lpstr>
      <vt:lpstr>ن6!Print_Area</vt:lpstr>
      <vt:lpstr>ن7!Print_Area</vt:lpstr>
      <vt:lpstr>'وجوه مصرف نشده'!Print_Area</vt:lpstr>
      <vt:lpstr>'وضعيت پردا غ ق'!Print_Area</vt:lpstr>
      <vt:lpstr>يادداشتها!Print_Area</vt:lpstr>
      <vt:lpstr>یادداشتها2!Print_Area</vt:lpstr>
      <vt:lpstr>'حمایت ها'!Print_Titles</vt:lpstr>
      <vt:lpstr>'مانده پرداختهای غیر قطعی جا'!Print_Titles</vt:lpstr>
      <vt:lpstr>'مانده پرداختهای غیر قطعی سن'!Print_Titles</vt:lpstr>
      <vt:lpstr>'وجوه مصرف نشده'!Print_Titles</vt:lpstr>
      <vt:lpstr>'وضعيت پردا غ ق'!Print_Titles</vt:lpstr>
      <vt:lpstr>يادداشتها!Print_Titles</vt:lpstr>
    </vt:vector>
  </TitlesOfParts>
  <Company>امين</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پارك سمنان</dc:title>
  <dc:creator>شوشتري</dc:creator>
  <cp:lastModifiedBy>armin.lakajana1979@gmail.com</cp:lastModifiedBy>
  <cp:lastPrinted>2020-12-19T09:13:28Z</cp:lastPrinted>
  <dcterms:created xsi:type="dcterms:W3CDTF">2007-12-17T16:27:59Z</dcterms:created>
  <dcterms:modified xsi:type="dcterms:W3CDTF">2026-08-28T06:36:39Z</dcterms:modified>
</cp:coreProperties>
</file>